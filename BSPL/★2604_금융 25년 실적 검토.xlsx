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2. 경영기획\5. 경영계획\2026\"/>
    </mc:Choice>
  </mc:AlternateContent>
  <xr:revisionPtr revIDLastSave="0" documentId="13_ncr:1_{72B75877-148D-41B1-A4B5-0DB0409CAEDC}" xr6:coauthVersionLast="47" xr6:coauthVersionMax="47" xr10:uidLastSave="{00000000-0000-0000-0000-000000000000}"/>
  <bookViews>
    <workbookView xWindow="-13755" yWindow="-16380" windowWidth="29040" windowHeight="15720" activeTab="8" xr2:uid="{4A4AB3A6-09BF-4EC9-B826-F89AC84183DF}"/>
  </bookViews>
  <sheets>
    <sheet name="KS" sheetId="1" r:id="rId1"/>
    <sheet name="KAM" sheetId="2" r:id="rId2"/>
    <sheet name="KSB" sheetId="3" r:id="rId3"/>
    <sheet name="KYSB" sheetId="4" r:id="rId4"/>
    <sheet name="KI" sheetId="5" r:id="rId5"/>
    <sheet name="KPE" sheetId="6" r:id="rId6"/>
    <sheet name="KC" sheetId="7" r:id="rId7"/>
    <sheet name="KFI(연결)" sheetId="8" r:id="rId8"/>
    <sheet name="금융_통합" sheetId="9" r:id="rId9"/>
  </sheets>
  <definedNames>
    <definedName name="_xlnm.Print_Area" localSheetId="8">금융_통합!$A$1:$V$29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28" i="9" l="1"/>
  <c r="I28" i="9"/>
  <c r="H28" i="9"/>
  <c r="G28" i="9"/>
  <c r="F28" i="9"/>
  <c r="E28" i="9"/>
  <c r="D28" i="9"/>
  <c r="C28" i="9"/>
  <c r="D14" i="9"/>
  <c r="E14" i="9"/>
  <c r="F14" i="9"/>
  <c r="G14" i="9"/>
  <c r="H14" i="9"/>
  <c r="I14" i="9"/>
  <c r="J14" i="9"/>
  <c r="C14" i="9"/>
  <c r="K6" i="8"/>
  <c r="K20" i="8" s="1"/>
  <c r="K5" i="8"/>
  <c r="K19" i="8" s="1"/>
  <c r="K4" i="8"/>
  <c r="K18" i="8" s="1"/>
  <c r="K6" i="7"/>
  <c r="K20" i="7" s="1"/>
  <c r="K5" i="7"/>
  <c r="K19" i="7" s="1"/>
  <c r="K4" i="7"/>
  <c r="K18" i="7" s="1"/>
  <c r="P6" i="6"/>
  <c r="P5" i="6"/>
  <c r="P4" i="6"/>
  <c r="P13" i="6"/>
  <c r="P12" i="6"/>
  <c r="J11" i="9" s="1"/>
  <c r="J25" i="9" s="1"/>
  <c r="P11" i="6"/>
  <c r="F11" i="9" s="1"/>
  <c r="F25" i="9" s="1"/>
  <c r="P6" i="5"/>
  <c r="P5" i="5"/>
  <c r="P4" i="5"/>
  <c r="P20" i="5"/>
  <c r="P12" i="5"/>
  <c r="J10" i="9" s="1"/>
  <c r="J24" i="9" s="1"/>
  <c r="P18" i="5"/>
  <c r="P6" i="4"/>
  <c r="P5" i="4"/>
  <c r="P19" i="4" s="1"/>
  <c r="P4" i="4"/>
  <c r="P13" i="4"/>
  <c r="P20" i="4"/>
  <c r="P18" i="4"/>
  <c r="P6" i="3"/>
  <c r="P5" i="3"/>
  <c r="P4" i="3"/>
  <c r="P20" i="3"/>
  <c r="P19" i="3"/>
  <c r="P18" i="3"/>
  <c r="P6" i="2"/>
  <c r="P5" i="2"/>
  <c r="P4" i="2"/>
  <c r="P20" i="2"/>
  <c r="P19" i="2"/>
  <c r="P18" i="2"/>
  <c r="K4" i="1"/>
  <c r="F19" i="9"/>
  <c r="J19" i="9"/>
  <c r="J6" i="9"/>
  <c r="J20" i="9" s="1"/>
  <c r="K13" i="8" l="1"/>
  <c r="K12" i="8"/>
  <c r="J13" i="9" s="1"/>
  <c r="J27" i="9" s="1"/>
  <c r="K11" i="8"/>
  <c r="F13" i="9" s="1"/>
  <c r="F27" i="9" s="1"/>
  <c r="K12" i="7"/>
  <c r="J12" i="9" s="1"/>
  <c r="J26" i="9" s="1"/>
  <c r="K13" i="7"/>
  <c r="K11" i="7"/>
  <c r="F12" i="9" s="1"/>
  <c r="F26" i="9" s="1"/>
  <c r="P18" i="6"/>
  <c r="P19" i="6"/>
  <c r="P20" i="6"/>
  <c r="P19" i="5"/>
  <c r="P11" i="5"/>
  <c r="F10" i="9" s="1"/>
  <c r="F24" i="9" s="1"/>
  <c r="P13" i="5"/>
  <c r="P11" i="4"/>
  <c r="F9" i="9" s="1"/>
  <c r="F23" i="9" s="1"/>
  <c r="P12" i="4"/>
  <c r="J9" i="9" s="1"/>
  <c r="J23" i="9" s="1"/>
  <c r="P12" i="3"/>
  <c r="J8" i="9" s="1"/>
  <c r="J22" i="9" s="1"/>
  <c r="P11" i="3"/>
  <c r="F8" i="9" s="1"/>
  <c r="F22" i="9" s="1"/>
  <c r="P13" i="3"/>
  <c r="P11" i="2"/>
  <c r="F7" i="9" s="1"/>
  <c r="F21" i="9" s="1"/>
  <c r="P12" i="2"/>
  <c r="J7" i="9" s="1"/>
  <c r="J21" i="9" s="1"/>
  <c r="P13" i="2"/>
  <c r="K10" i="1" l="1"/>
  <c r="K17" i="1" s="1"/>
  <c r="K6" i="1"/>
  <c r="K13" i="1" s="1"/>
  <c r="K5" i="1"/>
  <c r="K19" i="1" s="1"/>
  <c r="K18" i="1"/>
  <c r="M4" i="5"/>
  <c r="D19" i="9"/>
  <c r="E19" i="9"/>
  <c r="G19" i="9"/>
  <c r="H19" i="9"/>
  <c r="I19" i="9"/>
  <c r="C19" i="9"/>
  <c r="K20" i="1" l="1"/>
  <c r="K11" i="1"/>
  <c r="F6" i="9" s="1"/>
  <c r="F20" i="9" s="1"/>
  <c r="K12" i="1"/>
  <c r="G11" i="9"/>
  <c r="G25" i="9" s="1"/>
  <c r="G10" i="9"/>
  <c r="G24" i="9" s="1"/>
  <c r="D10" i="9"/>
  <c r="D24" i="9" s="1"/>
  <c r="I4" i="8"/>
  <c r="I11" i="8" s="1"/>
  <c r="D13" i="9" s="1"/>
  <c r="D27" i="9" s="1"/>
  <c r="J4" i="8"/>
  <c r="J18" i="8" s="1"/>
  <c r="I5" i="8"/>
  <c r="I19" i="8" s="1"/>
  <c r="J5" i="8"/>
  <c r="J19" i="8" s="1"/>
  <c r="I6" i="8"/>
  <c r="J6" i="8"/>
  <c r="H6" i="8"/>
  <c r="H5" i="8"/>
  <c r="H4" i="8"/>
  <c r="J20" i="8"/>
  <c r="I20" i="8"/>
  <c r="H20" i="8"/>
  <c r="H19" i="8"/>
  <c r="H18" i="8"/>
  <c r="I5" i="7"/>
  <c r="I12" i="7" s="1"/>
  <c r="H12" i="9" s="1"/>
  <c r="H26" i="9" s="1"/>
  <c r="J5" i="7"/>
  <c r="J12" i="7" s="1"/>
  <c r="I12" i="9" s="1"/>
  <c r="I26" i="9" s="1"/>
  <c r="I6" i="7"/>
  <c r="I20" i="7" s="1"/>
  <c r="J6" i="7"/>
  <c r="J20" i="7" s="1"/>
  <c r="H6" i="7"/>
  <c r="H20" i="7" s="1"/>
  <c r="H5" i="7"/>
  <c r="H12" i="7" s="1"/>
  <c r="G12" i="9" s="1"/>
  <c r="G26" i="9" s="1"/>
  <c r="I4" i="7"/>
  <c r="I11" i="7" s="1"/>
  <c r="D12" i="9" s="1"/>
  <c r="D26" i="9" s="1"/>
  <c r="J4" i="7"/>
  <c r="J18" i="7" s="1"/>
  <c r="H4" i="7"/>
  <c r="H11" i="7" s="1"/>
  <c r="C12" i="9" s="1"/>
  <c r="C26" i="9" s="1"/>
  <c r="J13" i="7"/>
  <c r="I13" i="7"/>
  <c r="H13" i="7"/>
  <c r="O6" i="5"/>
  <c r="O5" i="5"/>
  <c r="O12" i="5" s="1"/>
  <c r="I10" i="9" s="1"/>
  <c r="I24" i="9" s="1"/>
  <c r="O4" i="5"/>
  <c r="N6" i="5"/>
  <c r="N13" i="5" s="1"/>
  <c r="N5" i="5"/>
  <c r="N12" i="5" s="1"/>
  <c r="H10" i="9" s="1"/>
  <c r="H24" i="9" s="1"/>
  <c r="N4" i="5"/>
  <c r="O6" i="6"/>
  <c r="N6" i="6"/>
  <c r="N13" i="6" s="1"/>
  <c r="M6" i="6"/>
  <c r="M13" i="6" s="1"/>
  <c r="O5" i="6"/>
  <c r="O12" i="6" s="1"/>
  <c r="I11" i="9" s="1"/>
  <c r="I25" i="9" s="1"/>
  <c r="N5" i="6"/>
  <c r="N12" i="6" s="1"/>
  <c r="H11" i="9" s="1"/>
  <c r="H25" i="9" s="1"/>
  <c r="M5" i="6"/>
  <c r="M12" i="6" s="1"/>
  <c r="O4" i="6"/>
  <c r="O18" i="6" s="1"/>
  <c r="N4" i="6"/>
  <c r="N11" i="6" s="1"/>
  <c r="D11" i="9" s="1"/>
  <c r="D25" i="9" s="1"/>
  <c r="M4" i="6"/>
  <c r="M11" i="6" s="1"/>
  <c r="C11" i="9" s="1"/>
  <c r="C25" i="9" s="1"/>
  <c r="M19" i="6"/>
  <c r="O13" i="6"/>
  <c r="O20" i="6"/>
  <c r="N20" i="6"/>
  <c r="O19" i="6"/>
  <c r="N19" i="6"/>
  <c r="O20" i="5"/>
  <c r="M6" i="5"/>
  <c r="M13" i="5" s="1"/>
  <c r="M5" i="5"/>
  <c r="M12" i="5" s="1"/>
  <c r="O11" i="5"/>
  <c r="E10" i="9" s="1"/>
  <c r="E24" i="9" s="1"/>
  <c r="N11" i="5"/>
  <c r="M11" i="5"/>
  <c r="C10" i="9" s="1"/>
  <c r="C24" i="9" s="1"/>
  <c r="O13" i="5"/>
  <c r="O5" i="4"/>
  <c r="O19" i="4" s="1"/>
  <c r="O6" i="4"/>
  <c r="O20" i="4" s="1"/>
  <c r="N6" i="4"/>
  <c r="N13" i="4" s="1"/>
  <c r="N5" i="4"/>
  <c r="N12" i="4" s="1"/>
  <c r="H9" i="9" s="1"/>
  <c r="H23" i="9" s="1"/>
  <c r="M6" i="4"/>
  <c r="M20" i="4" s="1"/>
  <c r="M5" i="4"/>
  <c r="M19" i="4" s="1"/>
  <c r="O4" i="4"/>
  <c r="O11" i="4" s="1"/>
  <c r="E9" i="9" s="1"/>
  <c r="E23" i="9" s="1"/>
  <c r="N4" i="4"/>
  <c r="N11" i="4" s="1"/>
  <c r="D9" i="9" s="1"/>
  <c r="D23" i="9" s="1"/>
  <c r="M4" i="4"/>
  <c r="M11" i="4" s="1"/>
  <c r="C9" i="9" s="1"/>
  <c r="C23" i="9" s="1"/>
  <c r="O6" i="3"/>
  <c r="O20" i="3" s="1"/>
  <c r="N6" i="3"/>
  <c r="N20" i="3" s="1"/>
  <c r="M6" i="3"/>
  <c r="M20" i="3" s="1"/>
  <c r="O5" i="3"/>
  <c r="O19" i="3" s="1"/>
  <c r="N5" i="3"/>
  <c r="N19" i="3" s="1"/>
  <c r="M5" i="3"/>
  <c r="M19" i="3" s="1"/>
  <c r="O4" i="3"/>
  <c r="O18" i="3" s="1"/>
  <c r="N4" i="3"/>
  <c r="N11" i="3" s="1"/>
  <c r="D8" i="9" s="1"/>
  <c r="D22" i="9" s="1"/>
  <c r="M4" i="3"/>
  <c r="M11" i="3" s="1"/>
  <c r="C8" i="9" s="1"/>
  <c r="C22" i="9" s="1"/>
  <c r="O6" i="2"/>
  <c r="O20" i="2" s="1"/>
  <c r="N6" i="2"/>
  <c r="N20" i="2" s="1"/>
  <c r="M6" i="2"/>
  <c r="O5" i="2"/>
  <c r="O19" i="2" s="1"/>
  <c r="N5" i="2"/>
  <c r="N19" i="2" s="1"/>
  <c r="M5" i="2"/>
  <c r="M19" i="2" s="1"/>
  <c r="O4" i="2"/>
  <c r="O18" i="2" s="1"/>
  <c r="N4" i="2"/>
  <c r="N11" i="2" s="1"/>
  <c r="D7" i="9" s="1"/>
  <c r="D21" i="9" s="1"/>
  <c r="M4" i="2"/>
  <c r="M11" i="2" s="1"/>
  <c r="C7" i="9" s="1"/>
  <c r="C21" i="9" s="1"/>
  <c r="M20" i="2"/>
  <c r="I4" i="1"/>
  <c r="I11" i="1" s="1"/>
  <c r="D6" i="9" s="1"/>
  <c r="D20" i="9" s="1"/>
  <c r="J4" i="1"/>
  <c r="J11" i="1" s="1"/>
  <c r="E6" i="9" s="1"/>
  <c r="E20" i="9" s="1"/>
  <c r="I6" i="1"/>
  <c r="I13" i="1" s="1"/>
  <c r="J6" i="1"/>
  <c r="J13" i="1" s="1"/>
  <c r="H6" i="1"/>
  <c r="H20" i="1" s="1"/>
  <c r="H4" i="1"/>
  <c r="H11" i="1" s="1"/>
  <c r="C6" i="9" s="1"/>
  <c r="C20" i="9" s="1"/>
  <c r="I5" i="1"/>
  <c r="I12" i="1" s="1"/>
  <c r="H6" i="9" s="1"/>
  <c r="H20" i="9" s="1"/>
  <c r="J5" i="1"/>
  <c r="J12" i="1" s="1"/>
  <c r="I6" i="9" s="1"/>
  <c r="I20" i="9" s="1"/>
  <c r="H5" i="1"/>
  <c r="H19" i="1" s="1"/>
  <c r="I19" i="7" l="1"/>
  <c r="H19" i="7"/>
  <c r="J19" i="7"/>
  <c r="M20" i="6"/>
  <c r="O11" i="6"/>
  <c r="E11" i="9" s="1"/>
  <c r="E25" i="9" s="1"/>
  <c r="N20" i="4"/>
  <c r="M12" i="4"/>
  <c r="G9" i="9" s="1"/>
  <c r="G23" i="9" s="1"/>
  <c r="O18" i="4"/>
  <c r="N19" i="4"/>
  <c r="M13" i="4"/>
  <c r="O12" i="4"/>
  <c r="I9" i="9" s="1"/>
  <c r="I23" i="9" s="1"/>
  <c r="O13" i="4"/>
  <c r="H12" i="1"/>
  <c r="G6" i="9" s="1"/>
  <c r="G20" i="9" s="1"/>
  <c r="H13" i="1"/>
  <c r="H18" i="1"/>
  <c r="I18" i="1"/>
  <c r="J18" i="1"/>
  <c r="J20" i="1"/>
  <c r="I20" i="1"/>
  <c r="J19" i="1"/>
  <c r="I19" i="1"/>
  <c r="H12" i="8"/>
  <c r="G13" i="9" s="1"/>
  <c r="G27" i="9" s="1"/>
  <c r="J11" i="8"/>
  <c r="E13" i="9" s="1"/>
  <c r="E27" i="9" s="1"/>
  <c r="I12" i="8"/>
  <c r="H13" i="9" s="1"/>
  <c r="H27" i="9" s="1"/>
  <c r="J12" i="8"/>
  <c r="I13" i="9" s="1"/>
  <c r="I27" i="9" s="1"/>
  <c r="H13" i="8"/>
  <c r="I13" i="8"/>
  <c r="J13" i="8"/>
  <c r="I18" i="8"/>
  <c r="H11" i="8"/>
  <c r="C13" i="9" s="1"/>
  <c r="C27" i="9" s="1"/>
  <c r="J11" i="7"/>
  <c r="E12" i="9" s="1"/>
  <c r="E26" i="9" s="1"/>
  <c r="H18" i="7"/>
  <c r="I18" i="7"/>
  <c r="M19" i="5"/>
  <c r="O19" i="5"/>
  <c r="O18" i="5"/>
  <c r="N19" i="5"/>
  <c r="N20" i="5"/>
  <c r="M18" i="6"/>
  <c r="N18" i="6"/>
  <c r="M20" i="5"/>
  <c r="M18" i="5"/>
  <c r="N18" i="5"/>
  <c r="M18" i="4"/>
  <c r="N18" i="4"/>
  <c r="O11" i="3"/>
  <c r="E8" i="9" s="1"/>
  <c r="E22" i="9" s="1"/>
  <c r="M12" i="3"/>
  <c r="G8" i="9" s="1"/>
  <c r="G22" i="9" s="1"/>
  <c r="N12" i="3"/>
  <c r="H8" i="9" s="1"/>
  <c r="H22" i="9" s="1"/>
  <c r="O12" i="3"/>
  <c r="I8" i="9" s="1"/>
  <c r="I22" i="9" s="1"/>
  <c r="M13" i="3"/>
  <c r="N13" i="3"/>
  <c r="O13" i="3"/>
  <c r="M18" i="3"/>
  <c r="N18" i="3"/>
  <c r="O11" i="2"/>
  <c r="E7" i="9" s="1"/>
  <c r="E21" i="9" s="1"/>
  <c r="M12" i="2"/>
  <c r="G7" i="9" s="1"/>
  <c r="G21" i="9" s="1"/>
  <c r="N12" i="2"/>
  <c r="H7" i="9" s="1"/>
  <c r="H21" i="9" s="1"/>
  <c r="O12" i="2"/>
  <c r="I7" i="9" s="1"/>
  <c r="I21" i="9" s="1"/>
  <c r="M13" i="2"/>
  <c r="N13" i="2"/>
  <c r="O13" i="2"/>
  <c r="M18" i="2"/>
  <c r="N1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M4" authorId="0" shapeId="0" xr:uid="{0C6AE4FC-6A61-416E-81CB-542F5C61CCBA}">
      <text>
        <r>
          <rPr>
            <sz val="12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돋움"/>
            <family val="3"/>
            <charset val="129"/>
          </rPr>
          <t>대리님</t>
        </r>
        <r>
          <rPr>
            <sz val="12"/>
            <color indexed="81"/>
            <rFont val="Tahoma"/>
            <family val="2"/>
          </rPr>
          <t xml:space="preserve">, </t>
        </r>
        <r>
          <rPr>
            <sz val="12"/>
            <color indexed="81"/>
            <rFont val="돋움"/>
            <family val="3"/>
            <charset val="129"/>
          </rPr>
          <t>안녕하세요</t>
        </r>
        <r>
          <rPr>
            <sz val="12"/>
            <color indexed="81"/>
            <rFont val="Tahoma"/>
            <family val="2"/>
          </rPr>
          <t xml:space="preserve">. </t>
        </r>
        <r>
          <rPr>
            <sz val="12"/>
            <color indexed="81"/>
            <rFont val="돋움"/>
            <family val="3"/>
            <charset val="129"/>
          </rPr>
          <t>키움인베스트먼트</t>
        </r>
        <r>
          <rPr>
            <sz val="12"/>
            <color indexed="81"/>
            <rFont val="Tahoma"/>
            <family val="2"/>
          </rPr>
          <t>(</t>
        </r>
        <r>
          <rPr>
            <sz val="12"/>
            <color indexed="81"/>
            <rFont val="돋움"/>
            <family val="3"/>
            <charset val="129"/>
          </rPr>
          <t>주</t>
        </r>
        <r>
          <rPr>
            <sz val="12"/>
            <color indexed="81"/>
            <rFont val="Tahoma"/>
            <family val="2"/>
          </rPr>
          <t xml:space="preserve">) </t>
        </r>
        <r>
          <rPr>
            <sz val="12"/>
            <color indexed="81"/>
            <rFont val="돋움"/>
            <family val="3"/>
            <charset val="129"/>
          </rPr>
          <t>최희윤입니다</t>
        </r>
        <r>
          <rPr>
            <sz val="12"/>
            <color indexed="81"/>
            <rFont val="Tahoma"/>
            <family val="2"/>
          </rPr>
          <t xml:space="preserve">. 
</t>
        </r>
        <r>
          <rPr>
            <sz val="12"/>
            <color indexed="81"/>
            <rFont val="돋움"/>
            <family val="3"/>
            <charset val="129"/>
          </rPr>
          <t>말씀해주신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사항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다시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확인을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해보았는데요</t>
        </r>
        <r>
          <rPr>
            <sz val="12"/>
            <color indexed="81"/>
            <rFont val="Tahoma"/>
            <family val="2"/>
          </rPr>
          <t xml:space="preserve">, </t>
        </r>
        <r>
          <rPr>
            <sz val="12"/>
            <color indexed="81"/>
            <rFont val="돋움"/>
            <family val="3"/>
            <charset val="129"/>
          </rPr>
          <t>아래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사유로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인한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차이라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파일상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숫자는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맞는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것으로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확인하였습니다</t>
        </r>
        <r>
          <rPr>
            <sz val="12"/>
            <color indexed="81"/>
            <rFont val="Tahoma"/>
            <family val="2"/>
          </rPr>
          <t>. 
10</t>
        </r>
        <r>
          <rPr>
            <sz val="12"/>
            <color indexed="81"/>
            <rFont val="돋움"/>
            <family val="3"/>
            <charset val="129"/>
          </rPr>
          <t>백만원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차이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나는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이유</t>
        </r>
        <r>
          <rPr>
            <sz val="12"/>
            <color indexed="81"/>
            <rFont val="Tahoma"/>
            <family val="2"/>
          </rPr>
          <t xml:space="preserve"> : </t>
        </r>
        <r>
          <rPr>
            <sz val="12"/>
            <color indexed="81"/>
            <rFont val="돋움"/>
            <family val="3"/>
            <charset val="129"/>
          </rPr>
          <t>조합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성과급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금액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중</t>
        </r>
        <r>
          <rPr>
            <sz val="12"/>
            <color indexed="81"/>
            <rFont val="Tahoma"/>
            <family val="2"/>
          </rPr>
          <t xml:space="preserve"> 10</t>
        </r>
        <r>
          <rPr>
            <sz val="12"/>
            <color indexed="81"/>
            <rFont val="돋움"/>
            <family val="3"/>
            <charset val="129"/>
          </rPr>
          <t>백만원은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결성성과급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명목으로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선지급된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바가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있어서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해당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금액은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조합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성과급에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반영이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되어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있지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않습니다</t>
        </r>
        <r>
          <rPr>
            <sz val="12"/>
            <color indexed="81"/>
            <rFont val="Tahoma"/>
            <family val="2"/>
          </rPr>
          <t xml:space="preserve">. 
</t>
        </r>
        <r>
          <rPr>
            <sz val="12"/>
            <color indexed="81"/>
            <rFont val="돋움"/>
            <family val="3"/>
            <charset val="129"/>
          </rPr>
          <t>계산하실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때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아래와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같은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산식에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의거하여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계산이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필요합니다</t>
        </r>
        <r>
          <rPr>
            <sz val="12"/>
            <color indexed="81"/>
            <rFont val="Tahoma"/>
            <family val="2"/>
          </rPr>
          <t>. (</t>
        </r>
        <r>
          <rPr>
            <sz val="12"/>
            <color indexed="81"/>
            <rFont val="돋움"/>
            <family val="3"/>
            <charset val="129"/>
          </rPr>
          <t>예외적인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사항</t>
        </r>
        <r>
          <rPr>
            <sz val="12"/>
            <color indexed="81"/>
            <rFont val="Tahoma"/>
            <family val="2"/>
          </rPr>
          <t xml:space="preserve">) 
(1) </t>
        </r>
        <r>
          <rPr>
            <sz val="12"/>
            <color indexed="81"/>
            <rFont val="돋움"/>
            <family val="3"/>
            <charset val="129"/>
          </rPr>
          <t>영업수익</t>
        </r>
        <r>
          <rPr>
            <sz val="12"/>
            <color indexed="81"/>
            <rFont val="Tahoma"/>
            <family val="2"/>
          </rPr>
          <t xml:space="preserve"> : 10,233,457,170</t>
        </r>
        <r>
          <rPr>
            <sz val="12"/>
            <color indexed="81"/>
            <rFont val="돋움"/>
            <family val="3"/>
            <charset val="129"/>
          </rPr>
          <t>원</t>
        </r>
        <r>
          <rPr>
            <sz val="12"/>
            <color indexed="81"/>
            <rFont val="Tahoma"/>
            <family val="2"/>
          </rPr>
          <t xml:space="preserve"> 
(2) </t>
        </r>
        <r>
          <rPr>
            <sz val="12"/>
            <color indexed="81"/>
            <rFont val="돋움"/>
            <family val="3"/>
            <charset val="129"/>
          </rPr>
          <t>조합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성과보수</t>
        </r>
        <r>
          <rPr>
            <sz val="12"/>
            <color indexed="81"/>
            <rFont val="Tahoma"/>
            <family val="2"/>
          </rPr>
          <t xml:space="preserve"> : 772,782,492</t>
        </r>
        <r>
          <rPr>
            <sz val="12"/>
            <color indexed="81"/>
            <rFont val="돋움"/>
            <family val="3"/>
            <charset val="129"/>
          </rPr>
          <t>원</t>
        </r>
        <r>
          <rPr>
            <sz val="12"/>
            <color indexed="81"/>
            <rFont val="Tahoma"/>
            <family val="2"/>
          </rPr>
          <t xml:space="preserve"> - </t>
        </r>
        <r>
          <rPr>
            <sz val="12"/>
            <color indexed="81"/>
            <rFont val="돋움"/>
            <family val="3"/>
            <charset val="129"/>
          </rPr>
          <t>기지급된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성과보수</t>
        </r>
        <r>
          <rPr>
            <sz val="12"/>
            <color indexed="81"/>
            <rFont val="Tahoma"/>
            <family val="2"/>
          </rPr>
          <t xml:space="preserve"> 20,000,000</t>
        </r>
        <r>
          <rPr>
            <sz val="12"/>
            <color indexed="81"/>
            <rFont val="돋움"/>
            <family val="3"/>
            <charset val="129"/>
          </rPr>
          <t>원</t>
        </r>
        <r>
          <rPr>
            <sz val="12"/>
            <color indexed="81"/>
            <rFont val="Tahoma"/>
            <family val="2"/>
          </rPr>
          <t xml:space="preserve"> = 376,391,246</t>
        </r>
        <r>
          <rPr>
            <sz val="12"/>
            <color indexed="81"/>
            <rFont val="돋움"/>
            <family val="3"/>
            <charset val="129"/>
          </rPr>
          <t xml:space="preserve">원
</t>
        </r>
        <r>
          <rPr>
            <sz val="12"/>
            <color indexed="81"/>
            <rFont val="Tahoma"/>
            <family val="2"/>
          </rPr>
          <t>(1) - (2) = 9,857,065,924</t>
        </r>
        <r>
          <rPr>
            <sz val="12"/>
            <color indexed="81"/>
            <rFont val="돋움"/>
            <family val="3"/>
            <charset val="129"/>
          </rPr>
          <t>원</t>
        </r>
        <r>
          <rPr>
            <sz val="12"/>
            <color indexed="81"/>
            <rFont val="Tahoma"/>
            <family val="2"/>
          </rPr>
          <t xml:space="preserve"> 
</t>
        </r>
        <r>
          <rPr>
            <sz val="12"/>
            <color indexed="81"/>
            <rFont val="돋움"/>
            <family val="3"/>
            <charset val="129"/>
          </rPr>
          <t>보시고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문의사항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있으시면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연락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부탁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드립니다</t>
        </r>
        <r>
          <rPr>
            <sz val="12"/>
            <color indexed="81"/>
            <rFont val="Tahoma"/>
            <family val="2"/>
          </rPr>
          <t xml:space="preserve">. 
</t>
        </r>
        <r>
          <rPr>
            <sz val="12"/>
            <color indexed="81"/>
            <rFont val="돋움"/>
            <family val="3"/>
            <charset val="129"/>
          </rPr>
          <t>감사합니다</t>
        </r>
        <r>
          <rPr>
            <sz val="12"/>
            <color indexed="81"/>
            <rFont val="Tahoma"/>
            <family val="2"/>
          </rPr>
          <t xml:space="preserve">.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MY</author>
  </authors>
  <commentList>
    <comment ref="D5" authorId="0" shapeId="0" xr:uid="{C5510370-6FC4-43AA-9300-2AD9C1E4057B}">
      <text>
        <r>
          <rPr>
            <sz val="9"/>
            <color indexed="81"/>
            <rFont val="Tahoma"/>
            <family val="2"/>
          </rPr>
          <t>CVA 24,971</t>
        </r>
        <r>
          <rPr>
            <sz val="9"/>
            <color indexed="81"/>
            <rFont val="돋움"/>
            <family val="3"/>
            <charset val="129"/>
          </rPr>
          <t>백만원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제거시
</t>
        </r>
        <r>
          <rPr>
            <sz val="9"/>
            <color indexed="81"/>
            <rFont val="Tahoma"/>
            <family val="2"/>
          </rPr>
          <t xml:space="preserve">831,834
</t>
        </r>
      </text>
    </comment>
    <comment ref="H5" authorId="0" shapeId="0" xr:uid="{1B8FB43D-195C-4969-BABE-484FB923236B}">
      <text>
        <r>
          <rPr>
            <sz val="9"/>
            <color indexed="81"/>
            <rFont val="Tahoma"/>
            <family val="2"/>
          </rPr>
          <t>CVA 24,971</t>
        </r>
        <r>
          <rPr>
            <sz val="9"/>
            <color indexed="81"/>
            <rFont val="돋움"/>
            <family val="3"/>
            <charset val="129"/>
          </rPr>
          <t>백만원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제거시
</t>
        </r>
        <r>
          <rPr>
            <sz val="9"/>
            <color indexed="81"/>
            <rFont val="Tahoma"/>
            <family val="2"/>
          </rPr>
          <t>418,383</t>
        </r>
      </text>
    </comment>
  </commentList>
</comments>
</file>

<file path=xl/sharedStrings.xml><?xml version="1.0" encoding="utf-8"?>
<sst xmlns="http://schemas.openxmlformats.org/spreadsheetml/2006/main" count="804" uniqueCount="430">
  <si>
    <t>　우선주희석주당순이익(손실) (단위 : 원)</t>
  </si>
  <si>
    <t>　우선주기본주당순이익(손실) (단위 : 원)</t>
  </si>
  <si>
    <t>　보통주희석주당이익 (단위 : 원)</t>
  </si>
  <si>
    <t>　보통주기본주당이익 (단위 : 원)</t>
  </si>
  <si>
    <t>주당이익</t>
  </si>
  <si>
    <t>총포괄손익</t>
  </si>
  <si>
    <t>　　      확정급여제도의 재측정요소</t>
  </si>
  <si>
    <t>　　당기손익-공정가치측정금융부채평가손익(신용위험조정)</t>
  </si>
  <si>
    <t>　　기타포괄손익-공정가치측정금융자산평가손익(지분상품)</t>
  </si>
  <si>
    <t>　2. 당기손익으로 재분류되지 않는 항목</t>
  </si>
  <si>
    <t>　　기타포괄손익-공정가치측정금융자산평가손익(채무상품)</t>
  </si>
  <si>
    <t>　1. 후속적으로 당기손익으로 재분류되는 항목</t>
  </si>
  <si>
    <t>기타포괄손익</t>
  </si>
  <si>
    <t>당 기 순 이 익</t>
  </si>
  <si>
    <t>법 인 세 비 용</t>
  </si>
  <si>
    <t>법인세비용차감전순이익</t>
  </si>
  <si>
    <t>영 업 외 비 용</t>
  </si>
  <si>
    <t>영 업 외 수 익</t>
  </si>
  <si>
    <t>영  업  이  익</t>
  </si>
  <si>
    <t>9. 기타의영업비용</t>
  </si>
  <si>
    <t>8. 판매비와관리비</t>
  </si>
  <si>
    <t>7. 외환거래손실</t>
  </si>
  <si>
    <t>6. 이자비용</t>
  </si>
  <si>
    <t>5. 상각후원가측정금융상품 관련손실</t>
  </si>
  <si>
    <t>4. 기타포괄손익-공정가치측정금융상품 관련손실</t>
  </si>
  <si>
    <t>3. 파생상품 관련손실</t>
  </si>
  <si>
    <t>2. 당기손익-공정가치측정금융상품 관련손실</t>
  </si>
  <si>
    <t>1. 수수료비용</t>
  </si>
  <si>
    <t>영  업  비  용</t>
  </si>
  <si>
    <t>8. 기타의영업수익</t>
  </si>
  <si>
    <t>7. 외환거래이익</t>
  </si>
  <si>
    <t>　당기손익-공정가치측정금융자산 이자수익</t>
  </si>
  <si>
    <t>　유효이자율 적용 이자수익</t>
  </si>
  <si>
    <t>6. 이자수익</t>
  </si>
  <si>
    <t>5. 상각후원가측정금융상품 관련이익</t>
  </si>
  <si>
    <t>4. 기타포괄손익-공정가치측정금융상품 관련이익</t>
  </si>
  <si>
    <t>3. 파생상품 관련이익</t>
  </si>
  <si>
    <t>2. 당기손익-공정가치측정금융상품 관련이익</t>
  </si>
  <si>
    <t>1. 수수료수익</t>
  </si>
  <si>
    <t>영  업  수  익</t>
  </si>
  <si>
    <t>제 24 기</t>
  </si>
  <si>
    <t>제 25 기</t>
  </si>
  <si>
    <t>제 26 기</t>
  </si>
  <si>
    <t>영업수익</t>
  </si>
  <si>
    <t>영업수익</t>
    <phoneticPr fontId="3" type="noConversion"/>
  </si>
  <si>
    <t>영업이익</t>
  </si>
  <si>
    <t>영업이익</t>
    <phoneticPr fontId="3" type="noConversion"/>
  </si>
  <si>
    <t>순이익</t>
    <phoneticPr fontId="3" type="noConversion"/>
  </si>
  <si>
    <t>(백만원화)</t>
    <phoneticPr fontId="3" type="noConversion"/>
  </si>
  <si>
    <t>구 분</t>
    <phoneticPr fontId="3" type="noConversion"/>
  </si>
  <si>
    <t>(단위 : 원)</t>
    <phoneticPr fontId="3" type="noConversion"/>
  </si>
  <si>
    <t>(단위 : 백만원)</t>
    <phoneticPr fontId="3" type="noConversion"/>
  </si>
  <si>
    <t>(억원화)</t>
    <phoneticPr fontId="3" type="noConversion"/>
  </si>
  <si>
    <t>(단위 : 억원)</t>
    <phoneticPr fontId="3" type="noConversion"/>
  </si>
  <si>
    <t>과                        목</t>
  </si>
  <si>
    <t>주석</t>
  </si>
  <si>
    <t>제 37(당)기</t>
  </si>
  <si>
    <t>제 36(전)기</t>
  </si>
  <si>
    <t>수수료수익</t>
  </si>
  <si>
    <t>유가증권평가 및 처분이익</t>
  </si>
  <si>
    <t>이자수익</t>
  </si>
  <si>
    <t>기타영업수익</t>
  </si>
  <si>
    <t>영업비용</t>
  </si>
  <si>
    <t>수수료비용</t>
  </si>
  <si>
    <t>유가증권평가 및 처분손실</t>
  </si>
  <si>
    <t>일반관리비</t>
  </si>
  <si>
    <t>기타영업비용</t>
  </si>
  <si>
    <t>영업외수익</t>
  </si>
  <si>
    <t>영업외비용</t>
  </si>
  <si>
    <t>법인세비용</t>
  </si>
  <si>
    <t>당기순이익</t>
  </si>
  <si>
    <t>-</t>
  </si>
  <si>
    <t>당기총포괄손익</t>
  </si>
  <si>
    <t>기본 및 희석주당이익</t>
  </si>
  <si>
    <t>제 35(전)기</t>
  </si>
  <si>
    <t>제 43(당) 기</t>
  </si>
  <si>
    <t>제 42(전) 기</t>
  </si>
  <si>
    <t>I. 영업수익</t>
  </si>
  <si>
    <t>  1. 이자수익(주석24)</t>
  </si>
  <si>
    <t>    (1) 예치금이자</t>
  </si>
  <si>
    <t>    (2) 단기매매증권이자</t>
  </si>
  <si>
    <t>    (3) 매도가능증권이자</t>
  </si>
  <si>
    <t>    (4) 대출채권이자</t>
  </si>
  <si>
    <t>    (5) 기타이자수익</t>
  </si>
  <si>
    <t>  2. 유가증권평가 및 처분이익</t>
  </si>
  <si>
    <t>    (1) 단기매매증권평가이익</t>
  </si>
  <si>
    <t>    (2) 단기매매증권처분이익</t>
  </si>
  <si>
    <t>    (3) 매도가능증권처분이익</t>
  </si>
  <si>
    <t>  3. 대출채권평가 및 매매이익</t>
  </si>
  <si>
    <t>    (1) 대출채권매매이익(주석7)</t>
  </si>
  <si>
    <t>  4. 수수료수익</t>
  </si>
  <si>
    <t>    (1) 송금수입수수료</t>
  </si>
  <si>
    <t>    (2) 중도해지수입수수료</t>
  </si>
  <si>
    <t>    (3) 대리사무취급수입수수료</t>
  </si>
  <si>
    <t>    (4) 기타수입수수료</t>
  </si>
  <si>
    <t>  5. 배당금수익</t>
  </si>
  <si>
    <t>    (1) 단기매매증권배당금</t>
  </si>
  <si>
    <t>    (2) 매도가능증권배당금</t>
  </si>
  <si>
    <t>  6. 기타영업이익</t>
  </si>
  <si>
    <t>    (1) 미사용약정충당부채환입액(주석14,15)</t>
  </si>
  <si>
    <t>    (2) 기타자산대손충당금환입액</t>
  </si>
  <si>
    <t>II. 영업비용</t>
  </si>
  <si>
    <t>  1. 이자비용(주석24)</t>
  </si>
  <si>
    <t>    (1) 예수금이자</t>
  </si>
  <si>
    <t>    (2) 기타이자비용</t>
  </si>
  <si>
    <t>  2. 유가증권평가 및 처분손실</t>
  </si>
  <si>
    <t>    (1) 단기매매증권처분손실</t>
  </si>
  <si>
    <t>    (2) 매도가능증권처분손실</t>
  </si>
  <si>
    <t>    (3) 매도가능증권손상차손(주석6)</t>
  </si>
  <si>
    <t>  3. 대출채권평가 및 매매손실</t>
  </si>
  <si>
    <t>    (1) 대손상각비(주석7)</t>
  </si>
  <si>
    <t>    (2) 대출채권매매손실(주석7)</t>
  </si>
  <si>
    <t>  4. 수수료비용</t>
  </si>
  <si>
    <t>    (1) 송금지급수수료</t>
  </si>
  <si>
    <t>    (2) 기타지급수수료</t>
  </si>
  <si>
    <t>  5. 판매비와관리비(주석21)</t>
  </si>
  <si>
    <t>    (1) 인건비</t>
  </si>
  <si>
    <t>    (2) 경비</t>
  </si>
  <si>
    <t>  6. 기타영업비용</t>
  </si>
  <si>
    <t>    (1) 예금보험료</t>
  </si>
  <si>
    <t>    (2) 기타충당부채전입액(주석14)</t>
  </si>
  <si>
    <t>    (3) 기타의대손상각비</t>
  </si>
  <si>
    <t>III. 영업이익</t>
  </si>
  <si>
    <t>IV. 영업외수익</t>
  </si>
  <si>
    <t>  1. 수입임대료</t>
  </si>
  <si>
    <t>  2. 무형자산처분이익</t>
  </si>
  <si>
    <t>  3. 비업무용자산처분이익</t>
  </si>
  <si>
    <t>  4. 잡이익</t>
  </si>
  <si>
    <t>V. 영업외비용</t>
  </si>
  <si>
    <t>  1. 유입물건관리비</t>
  </si>
  <si>
    <t>  2. 잡손실</t>
  </si>
  <si>
    <t>  3. 유형자산폐기손실</t>
  </si>
  <si>
    <t>  4. 비업무용자산처분손실</t>
  </si>
  <si>
    <t>  5. 기부금</t>
  </si>
  <si>
    <t>Ⅵ. 법인세비용차감전순이익</t>
  </si>
  <si>
    <t>VII. 법인세비용(수익)(주석17)</t>
  </si>
  <si>
    <t>VIII. 당기순이익</t>
  </si>
  <si>
    <t>제 41(전)기</t>
  </si>
  <si>
    <t>  1. 이자수익(주석22)</t>
  </si>
  <si>
    <t>    (2) 매도가능증권이자</t>
  </si>
  <si>
    <t>    (3) 대출채권이자</t>
  </si>
  <si>
    <t>    (4) 기타이자수익</t>
  </si>
  <si>
    <t>  3. 대출채권평가및처분이익</t>
  </si>
  <si>
    <t>    (1) 대출채권매매이익(주석6)</t>
  </si>
  <si>
    <t>    (1) 단기매매주식배당금</t>
  </si>
  <si>
    <t>    (1) 미사용약정충당부채환입액(주석12,13)</t>
  </si>
  <si>
    <t>  1. 이자비용(주석22)</t>
  </si>
  <si>
    <t>    (1) 단기매매증권평가손실</t>
  </si>
  <si>
    <t>    (2) 단기매매증권처분손실</t>
  </si>
  <si>
    <t>    (3) 매도가능증권처분손실</t>
  </si>
  <si>
    <t>  3. 대출채권평가 및 처분손실</t>
  </si>
  <si>
    <t>    (1) 대손상각비(주석6)</t>
  </si>
  <si>
    <t>    (2) 대출채권매매손실(주석6)</t>
  </si>
  <si>
    <t>  5. 판매비와관리비(주석19)</t>
  </si>
  <si>
    <t>    (2) 미사용약정충당부채전입액(주석12,13)</t>
  </si>
  <si>
    <t>    (3) 복구충당부채전입액(주석12)</t>
  </si>
  <si>
    <t>    (4) 기타의대손상각비</t>
  </si>
  <si>
    <t>VII. 법인세비용(수익)(주석15)</t>
  </si>
  <si>
    <t>제 55(당) 기</t>
  </si>
  <si>
    <t>제 54(전) 기</t>
  </si>
  <si>
    <t>Ⅰ.영업수익</t>
  </si>
  <si>
    <t>1.이자수익(주석23)</t>
  </si>
  <si>
    <t> (1) 예치금이자</t>
  </si>
  <si>
    <t> (2) 단기매매증권이자</t>
  </si>
  <si>
    <t> (3) 매도가능증권이자</t>
  </si>
  <si>
    <t> (4) 만기보유증권이자</t>
  </si>
  <si>
    <t> (5) 대출채권이자</t>
  </si>
  <si>
    <t> (6) 기타이자수익</t>
  </si>
  <si>
    <t>2.유가증권평가 및 처분이익</t>
  </si>
  <si>
    <t> (1) 단기매매증권매매이익</t>
  </si>
  <si>
    <t> (2) 단기매매증권평가이익</t>
  </si>
  <si>
    <t> (3) 매도가능증권처분이익</t>
  </si>
  <si>
    <t>3.대출채권평가 및 처분이익(주석7)</t>
  </si>
  <si>
    <t> (1) 대출채권매매이익</t>
  </si>
  <si>
    <t>4.수수료수익</t>
  </si>
  <si>
    <t> (1) 송금수입수수료</t>
  </si>
  <si>
    <t> (2) 대리사무취급수임수수료</t>
  </si>
  <si>
    <t> (3) 중도해지수입수수료</t>
  </si>
  <si>
    <t> (4) 기타수입수수료</t>
  </si>
  <si>
    <t>5.배당금수익</t>
  </si>
  <si>
    <t> (1) 매도가능증권배당금수익</t>
  </si>
  <si>
    <t>6.기타영업수익</t>
  </si>
  <si>
    <t> (1) 미사용약정충당금환입</t>
  </si>
  <si>
    <t> (2) 기타충당부채환입</t>
  </si>
  <si>
    <t>Ⅱ.영업비용</t>
  </si>
  <si>
    <t>1.이자비용(주석23)</t>
  </si>
  <si>
    <t> (1) 예수금이자</t>
  </si>
  <si>
    <t> (2) 기타이자비용</t>
  </si>
  <si>
    <t>2.유가증권평가 및 처분손실</t>
  </si>
  <si>
    <t> (1) 단기매매증권매매손실</t>
  </si>
  <si>
    <t> (2) 매도가능증권매매손실</t>
  </si>
  <si>
    <t>3.대출채권평가 및 처분손실(주석7)</t>
  </si>
  <si>
    <t> (1) 대손상각비</t>
  </si>
  <si>
    <t> (2) 대출채권매매손실</t>
  </si>
  <si>
    <t>4.수수료비용</t>
  </si>
  <si>
    <t> (1) 기타지급수수료</t>
  </si>
  <si>
    <t>5.판매비와관리비(주석17)</t>
  </si>
  <si>
    <t> (1) 인건비</t>
  </si>
  <si>
    <t> (2) 경비</t>
  </si>
  <si>
    <t>6. 기타영업비용</t>
  </si>
  <si>
    <t> (1) 예금보험료</t>
  </si>
  <si>
    <t> (2) 기타의대손상각비</t>
  </si>
  <si>
    <t> (3) 미사용약정충당금전입</t>
  </si>
  <si>
    <t> (4) 기타충당부채전입</t>
  </si>
  <si>
    <t>Ⅲ.영업손실</t>
  </si>
  <si>
    <t>Ⅳ.영업외수익</t>
  </si>
  <si>
    <t>1.수입임대료</t>
  </si>
  <si>
    <t>2.지분법평가이익</t>
  </si>
  <si>
    <t>2.잡이익</t>
  </si>
  <si>
    <t>Ⅴ.영업외비용</t>
  </si>
  <si>
    <t>1.잡손실</t>
  </si>
  <si>
    <t>2.지분법평가손실</t>
  </si>
  <si>
    <t>3.기부금</t>
  </si>
  <si>
    <t>4.유형자산처분손실</t>
  </si>
  <si>
    <t>Ⅵ.법인세비용차감전순손실</t>
  </si>
  <si>
    <t>Ⅶ.법인세수익 (주석16)</t>
  </si>
  <si>
    <t>Ⅷ.당기순손실 (주석18)</t>
  </si>
  <si>
    <t>제 53(전) 기</t>
  </si>
  <si>
    <t> (2) 당기손익인식증권이자</t>
  </si>
  <si>
    <t> (1) 당기손익인식증권매매이익</t>
  </si>
  <si>
    <t> (2) 당기손익인식증권평가이익</t>
  </si>
  <si>
    <t> (1) 당기손익인식증권매매손실</t>
  </si>
  <si>
    <t> (1) 연체대출금회수수수료</t>
  </si>
  <si>
    <t> (2) 기타지급수수료</t>
  </si>
  <si>
    <t>Ⅲ.영업이익</t>
  </si>
  <si>
    <t>2.기부금</t>
  </si>
  <si>
    <t>3.유형자산처분손실</t>
  </si>
  <si>
    <t>Ⅵ.법인세비용차감전순이익(손실)</t>
  </si>
  <si>
    <t>Ⅶ.법인세비용(수익)(주석16)</t>
  </si>
  <si>
    <t>Ⅷ.당기순이익(손실)(주석18)</t>
  </si>
  <si>
    <t>(*) 영업이익 + 판관비 + 대손상각비 (+ 미사용약정충당금전입액 or -미사용약정충당금환입액)</t>
    <phoneticPr fontId="3" type="noConversion"/>
  </si>
  <si>
    <t>영업수지*</t>
    <phoneticPr fontId="3" type="noConversion"/>
  </si>
  <si>
    <t>(*) 영업수익-유가증권평가 및 처분손실</t>
    <phoneticPr fontId="3" type="noConversion"/>
  </si>
  <si>
    <t>영업수익*</t>
    <phoneticPr fontId="3" type="noConversion"/>
  </si>
  <si>
    <t>(*) 영업이익+판관비</t>
    <phoneticPr fontId="3" type="noConversion"/>
  </si>
  <si>
    <t>제 26(당)기</t>
  </si>
  <si>
    <t>제 25(전)기</t>
  </si>
  <si>
    <t>Ⅰ. 영업수익</t>
  </si>
  <si>
    <t>(1) 투자수익</t>
  </si>
  <si>
    <t>(2) 투자조합수익</t>
  </si>
  <si>
    <t>조합관리보수(주석14)</t>
  </si>
  <si>
    <t>조합성과보수(주석14)</t>
  </si>
  <si>
    <t>      조합출자금처분이익</t>
  </si>
  <si>
    <t>조합지분법이익(주석3)</t>
  </si>
  <si>
    <t>(3) 운용투자수익</t>
  </si>
  <si>
    <t>운용투자주식처분이익</t>
  </si>
  <si>
    <t>운용투자사채처분이익</t>
  </si>
  <si>
    <t>(4) 기타의영업수익</t>
  </si>
  <si>
    <t>이자수익(주석14)</t>
  </si>
  <si>
    <t>복구충당부채환입</t>
  </si>
  <si>
    <t>Ⅱ. 영업비용</t>
  </si>
  <si>
    <t>(1) 투자및금융비용</t>
  </si>
  <si>
    <t>      투자주식처분손실</t>
  </si>
  <si>
    <t>      투자사채처분손실</t>
  </si>
  <si>
    <t>      조합출자금처분손실</t>
  </si>
  <si>
    <t>조합지분법손실(주석3)</t>
  </si>
  <si>
    <t>이자비용(차입금이자)</t>
  </si>
  <si>
    <t>이자비용</t>
  </si>
  <si>
    <t>복구충당부채전입</t>
  </si>
  <si>
    <t>(2) 운용투자비용</t>
  </si>
  <si>
    <t>      운용투자주식처분손실</t>
  </si>
  <si>
    <t>      운용투자사채처분손실</t>
  </si>
  <si>
    <t>(3)일반관리비(주석13)</t>
  </si>
  <si>
    <t>급여</t>
  </si>
  <si>
    <t>퇴직급여(주석6)</t>
  </si>
  <si>
    <t>복리후생비</t>
  </si>
  <si>
    <t>여비교통비</t>
  </si>
  <si>
    <t>접대비</t>
  </si>
  <si>
    <t>통신비</t>
  </si>
  <si>
    <t>세금과공과</t>
  </si>
  <si>
    <t>임차료(주석14)</t>
  </si>
  <si>
    <t>차량유지비</t>
  </si>
  <si>
    <t>운반비</t>
  </si>
  <si>
    <t>교육훈련비</t>
  </si>
  <si>
    <t>도서인쇄비</t>
  </si>
  <si>
    <t>소모품비</t>
  </si>
  <si>
    <t>지급수수료(주석14)</t>
  </si>
  <si>
    <t>협회비</t>
  </si>
  <si>
    <t>감가상각비(주석4)</t>
  </si>
  <si>
    <t>임차자산개량권감가상각비(주석4)</t>
  </si>
  <si>
    <t>무형자산상각비(주석4)</t>
  </si>
  <si>
    <t>행사비</t>
  </si>
  <si>
    <t>광고선전비</t>
  </si>
  <si>
    <t>수도광열비</t>
  </si>
  <si>
    <t>Ⅲ. 영업이익</t>
  </si>
  <si>
    <t>Ⅳ. 영업외수익</t>
  </si>
  <si>
    <t>유형자산처분이익</t>
  </si>
  <si>
    <t>잡이익</t>
  </si>
  <si>
    <t>Ⅴ. 영업외비용</t>
  </si>
  <si>
    <t>유형자산폐기손실</t>
  </si>
  <si>
    <t>기부금</t>
  </si>
  <si>
    <t>      기타비유동자산손상차손</t>
  </si>
  <si>
    <t>Ⅶ. 법인세비용(주석10)</t>
  </si>
  <si>
    <t>Ⅷ. 당기순이익</t>
  </si>
  <si>
    <t>Ⅸ. 주당순이익(주석11)</t>
  </si>
  <si>
    <t>기본주당순이익</t>
  </si>
  <si>
    <t>제 24(전) 기</t>
  </si>
  <si>
    <t>과            목</t>
    <phoneticPr fontId="3" type="noConversion"/>
  </si>
  <si>
    <t>       기타투자수익</t>
  </si>
  <si>
    <t>지급수수료</t>
  </si>
  <si>
    <t>잡손실</t>
  </si>
  <si>
    <t>(*) 영업수익 - (조합성과보수/2)</t>
    <phoneticPr fontId="3" type="noConversion"/>
  </si>
  <si>
    <t>과        목</t>
  </si>
  <si>
    <t>주  석</t>
  </si>
  <si>
    <t>제 8(당) 기</t>
  </si>
  <si>
    <t>제 7(전) 기</t>
  </si>
  <si>
    <t> 이자수익</t>
  </si>
  <si>
    <t> 당기손익-공정가치측정금융상품관련이익</t>
  </si>
  <si>
    <t>4,20</t>
  </si>
  <si>
    <t> 관리보수</t>
  </si>
  <si>
    <t> 성과보수</t>
  </si>
  <si>
    <t> 지분법이익</t>
  </si>
  <si>
    <t> 당기손익-공정가치측정금융상품관련손실</t>
  </si>
  <si>
    <t> 지분법손실</t>
  </si>
  <si>
    <t> 지분법적용주식처분손실</t>
  </si>
  <si>
    <t> 지분법적용투자주식손상차손</t>
  </si>
  <si>
    <t> 이자비용</t>
  </si>
  <si>
    <t> 일반관리비</t>
  </si>
  <si>
    <t>III. 영업이익(손실)</t>
  </si>
  <si>
    <t>VI. 법인세비용차감전순이익(손실)</t>
  </si>
  <si>
    <t>VII. 법인세비용(수익)</t>
  </si>
  <si>
    <t>VIII. 당기순이익(손실)</t>
  </si>
  <si>
    <t>IX. 기타포괄손익</t>
  </si>
  <si>
    <t>1. 후속적으로 당기손익으로 재분류되지 않는 항목:</t>
  </si>
  <si>
    <t>  보험수리적손익</t>
  </si>
  <si>
    <t>X. 총포괄이익(손실)</t>
  </si>
  <si>
    <t>XI. 주당이익</t>
  </si>
  <si>
    <t> 기본주당이익(손실)</t>
  </si>
  <si>
    <t>제 6(전) 기</t>
  </si>
  <si>
    <t>제 7 기</t>
  </si>
  <si>
    <t>제 6 기</t>
  </si>
  <si>
    <t>제 5 기</t>
  </si>
  <si>
    <t>1. 이자수익</t>
  </si>
  <si>
    <t>　(1) 상각후원가측정 금융상품 이자수익</t>
  </si>
  <si>
    <t>　(2) 당기손익-공정가치측정 금융상품 이자수익</t>
  </si>
  <si>
    <t>2. 수수료수익</t>
  </si>
  <si>
    <t>3. 당기손익-공정가치측정 금융상품 관련이익</t>
  </si>
  <si>
    <t>4. 지분법이익</t>
  </si>
  <si>
    <t>5. 외환거래이익</t>
  </si>
  <si>
    <t>6. 기타의영업수익</t>
  </si>
  <si>
    <t>1. 이자비용</t>
  </si>
  <si>
    <t>2. 수수료비용</t>
  </si>
  <si>
    <t>3. 당기손익-공정가치측정 금융상품 관련손실</t>
  </si>
  <si>
    <t>4. 지분법손실</t>
  </si>
  <si>
    <t>5. 외환거래손실</t>
  </si>
  <si>
    <t>6. 신용손실충당금전입액</t>
  </si>
  <si>
    <t>7. 기타의영업비용</t>
  </si>
  <si>
    <t>IV. 영업외손익</t>
  </si>
  <si>
    <t>V. 법인세비용차감전순이익</t>
  </si>
  <si>
    <t>VI. 법인세비용</t>
  </si>
  <si>
    <t>VII. 당기순이익</t>
  </si>
  <si>
    <t>VIII. 기타포괄손익</t>
  </si>
  <si>
    <t>　1. 후속적으로 당기손익으로 재분류되지 않는 항목</t>
  </si>
  <si>
    <t>　　확정급여제도의 재측정요소</t>
  </si>
  <si>
    <t>　2. 후속적으로 당기손익으로 재분류될 수 있는 항목</t>
  </si>
  <si>
    <t>　　현금흐름위험회피평가손익</t>
  </si>
  <si>
    <t>IX. 총포괄손익</t>
  </si>
  <si>
    <t>X. 주당이익</t>
  </si>
  <si>
    <t>　1. 기본 및 희석주당이익 (단위 : 원)</t>
  </si>
  <si>
    <t>주석16. 충당부채 (16-2)</t>
    <phoneticPr fontId="3" type="noConversion"/>
  </si>
  <si>
    <t>미사용약정충당부채 전입(+)</t>
    <phoneticPr fontId="3" type="noConversion"/>
  </si>
  <si>
    <t>미사용약정충당부채 환입(-)</t>
    <phoneticPr fontId="3" type="noConversion"/>
  </si>
  <si>
    <t>(*) 영업이익 + 판관비 + 신용손실충당금전입액 (+ 미사용약정충당부채전입액 or -미사용약정충당부채환입액)</t>
    <phoneticPr fontId="3" type="noConversion"/>
  </si>
  <si>
    <t>제 4 기</t>
  </si>
  <si>
    <t>제 3 기</t>
  </si>
  <si>
    <t>　수수료수익</t>
  </si>
  <si>
    <t>　이자수익</t>
  </si>
  <si>
    <t>　　유효이자율적용이자수익</t>
  </si>
  <si>
    <t>　　당기손익-공정가치 측정 금융자산 이자수익</t>
  </si>
  <si>
    <t>　당기손익-공정가치측정금융자산관련이익</t>
  </si>
  <si>
    <t>　상각후원가측정금융자산관련이익</t>
  </si>
  <si>
    <t>　파생상품평가 및 거래이익</t>
  </si>
  <si>
    <t>　배당금수익</t>
  </si>
  <si>
    <t>　기타영업수익</t>
  </si>
  <si>
    <t>　수수료비용</t>
  </si>
  <si>
    <t>　이자비용</t>
  </si>
  <si>
    <t>　당기손익-공정가치측정금융자산관련손실</t>
  </si>
  <si>
    <t>　상각후원가측정금융자산관련손실</t>
  </si>
  <si>
    <t>　파생상품평가 및 거래손실</t>
  </si>
  <si>
    <t>　외환거래손실</t>
  </si>
  <si>
    <t>　기타영업비용</t>
  </si>
  <si>
    <t>　판매비와관리비</t>
  </si>
  <si>
    <t>영업이익(손실)</t>
  </si>
  <si>
    <t>법인세비용차감전순이익(손실)</t>
  </si>
  <si>
    <t>법인세비용(수익)</t>
  </si>
  <si>
    <t>당기순이익(손실)</t>
  </si>
  <si>
    <t>　지배주주지분</t>
  </si>
  <si>
    <t>　비지배주주지분</t>
  </si>
  <si>
    <t>　확정급여제도의재측정요소</t>
  </si>
  <si>
    <t>　지배주주비분</t>
  </si>
  <si>
    <t>영업수지/영업수익</t>
    <phoneticPr fontId="3" type="noConversion"/>
  </si>
  <si>
    <t>KS</t>
    <phoneticPr fontId="3" type="noConversion"/>
  </si>
  <si>
    <t>KAM</t>
    <phoneticPr fontId="3" type="noConversion"/>
  </si>
  <si>
    <t>KSB</t>
    <phoneticPr fontId="3" type="noConversion"/>
  </si>
  <si>
    <t>KYSB</t>
    <phoneticPr fontId="3" type="noConversion"/>
  </si>
  <si>
    <t>KI</t>
    <phoneticPr fontId="3" type="noConversion"/>
  </si>
  <si>
    <t>KPE</t>
    <phoneticPr fontId="3" type="noConversion"/>
  </si>
  <si>
    <t>KC</t>
    <phoneticPr fontId="3" type="noConversion"/>
  </si>
  <si>
    <t>KFI(연결)</t>
    <phoneticPr fontId="3" type="noConversion"/>
  </si>
  <si>
    <t>KS*</t>
    <phoneticPr fontId="3" type="noConversion"/>
  </si>
  <si>
    <t>KSB*</t>
    <phoneticPr fontId="3" type="noConversion"/>
  </si>
  <si>
    <t>KYSB*</t>
    <phoneticPr fontId="3" type="noConversion"/>
  </si>
  <si>
    <t>KC*</t>
    <phoneticPr fontId="3" type="noConversion"/>
  </si>
  <si>
    <t>(*)영업수지</t>
    <phoneticPr fontId="3" type="noConversion"/>
  </si>
  <si>
    <t>영업수지/영업수익 산식</t>
    <phoneticPr fontId="3" type="noConversion"/>
  </si>
  <si>
    <t>영업이익 + 판관비 + 대손상각비 (+ 미사용약정충당금전입액 or -미사용약정충당금환입액)</t>
    <phoneticPr fontId="3" type="noConversion"/>
  </si>
  <si>
    <t>영업수익 - (조합성과보수/2)</t>
  </si>
  <si>
    <t>영업이익 + 판관비 + 신용손실충당금전입액 (+ 미사용약정충당부채전입액 or -미사용약정충당부채환입액)</t>
    <phoneticPr fontId="3" type="noConversion"/>
  </si>
  <si>
    <t>영업이익 + 판관비</t>
    <phoneticPr fontId="3" type="noConversion"/>
  </si>
  <si>
    <t>구분</t>
    <phoneticPr fontId="3" type="noConversion"/>
  </si>
  <si>
    <t>KS(관리)</t>
    <phoneticPr fontId="3" type="noConversion"/>
  </si>
  <si>
    <t>22/23년 영업이익 보고 시 관리 -&gt; 재무로 변경</t>
    <phoneticPr fontId="3" type="noConversion"/>
  </si>
  <si>
    <t>영업수익 - 유가증권평가 및 처분손실</t>
    <phoneticPr fontId="3" type="noConversion"/>
  </si>
  <si>
    <t>제27기</t>
    <phoneticPr fontId="3" type="noConversion"/>
  </si>
  <si>
    <t>&gt;&gt; 재무회계 영업수지 (관리회계와 상이)</t>
    <phoneticPr fontId="3" type="noConversion"/>
  </si>
  <si>
    <t>&gt;&gt; 재무회계 영업이익 (관리회계와 상이)</t>
    <phoneticPr fontId="3" type="noConversion"/>
  </si>
  <si>
    <t>비용 "-" 표기 사라짐</t>
    <phoneticPr fontId="3" type="noConversion"/>
  </si>
  <si>
    <t>제 38(당)기</t>
    <phoneticPr fontId="3" type="noConversion"/>
  </si>
  <si>
    <t>제 44(당) 기</t>
    <phoneticPr fontId="3" type="noConversion"/>
  </si>
  <si>
    <t>제 56(당) 기</t>
    <phoneticPr fontId="3" type="noConversion"/>
  </si>
  <si>
    <t>제 9(당) 기</t>
    <phoneticPr fontId="3" type="noConversion"/>
  </si>
  <si>
    <t>성과보수 27 - 178,048,712</t>
  </si>
  <si>
    <t>지분법이익 9 2,253,348,316</t>
  </si>
  <si>
    <t>당기손익-공정가치측정금융상품관련이익 4,21  786,860,935</t>
    <phoneticPr fontId="3" type="noConversion"/>
  </si>
  <si>
    <t>지분법적용주식처분이익 9  -</t>
    <phoneticPr fontId="3" type="noConversion"/>
  </si>
  <si>
    <t>관리보수 27  3,710,459,513</t>
    <phoneticPr fontId="3" type="noConversion"/>
  </si>
  <si>
    <t>제 6 기</t>
    <phoneticPr fontId="3" type="noConversion"/>
  </si>
  <si>
    <t>제 8 기</t>
    <phoneticPr fontId="3" type="noConversion"/>
  </si>
  <si>
    <t>제 27(당)기</t>
    <phoneticPr fontId="3" type="noConversion"/>
  </si>
  <si>
    <t>합계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</si>
</sst>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0_);[Red]\(#,##0\)"/>
  </numFmts>
  <fonts count="1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0000"/>
      <name val="굴림"/>
      <family val="3"/>
      <charset val="129"/>
    </font>
    <font>
      <sz val="10"/>
      <color rgb="FF000000"/>
      <name val="굴림"/>
      <family val="3"/>
      <charset val="129"/>
    </font>
    <font>
      <sz val="10"/>
      <color theme="1"/>
      <name val="맑은 고딕"/>
      <family val="2"/>
      <charset val="129"/>
      <scheme val="minor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12"/>
      <color indexed="81"/>
      <name val="Tahoma"/>
      <family val="2"/>
    </font>
    <font>
      <sz val="12"/>
      <color indexed="81"/>
      <name val="돋움"/>
      <family val="3"/>
      <charset val="129"/>
    </font>
    <font>
      <sz val="12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CDCDC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/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/>
      <top style="thin">
        <color rgb="FF000000"/>
      </top>
      <bottom style="thin">
        <color rgb="FF80808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80808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7">
    <xf numFmtId="0" fontId="0" fillId="0" borderId="0" xfId="0">
      <alignment vertical="center"/>
    </xf>
    <xf numFmtId="3" fontId="4" fillId="0" borderId="1" xfId="0" applyNumberFormat="1" applyFont="1" applyBorder="1" applyAlignment="1">
      <alignment horizontal="right" vertical="center" wrapText="1"/>
    </xf>
    <xf numFmtId="3" fontId="4" fillId="0" borderId="2" xfId="0" applyNumberFormat="1" applyFont="1" applyBorder="1" applyAlignment="1">
      <alignment horizontal="right" vertical="center" wrapText="1"/>
    </xf>
    <xf numFmtId="0" fontId="4" fillId="0" borderId="3" xfId="0" applyFont="1" applyBorder="1" applyAlignment="1">
      <alignment vertical="center" wrapText="1"/>
    </xf>
    <xf numFmtId="3" fontId="4" fillId="0" borderId="4" xfId="0" applyNumberFormat="1" applyFont="1" applyBorder="1" applyAlignment="1">
      <alignment horizontal="right" vertical="center" wrapText="1"/>
    </xf>
    <xf numFmtId="3" fontId="4" fillId="0" borderId="5" xfId="0" applyNumberFormat="1" applyFont="1" applyBorder="1" applyAlignment="1">
      <alignment horizontal="right" vertical="center" wrapText="1"/>
    </xf>
    <xf numFmtId="0" fontId="4" fillId="0" borderId="6" xfId="0" applyFont="1" applyBorder="1" applyAlignment="1">
      <alignment vertical="center" wrapText="1"/>
    </xf>
    <xf numFmtId="0" fontId="4" fillId="0" borderId="4" xfId="0" applyFont="1" applyBorder="1" applyAlignment="1">
      <alignment horizontal="right" vertical="center" wrapText="1"/>
    </xf>
    <xf numFmtId="0" fontId="4" fillId="0" borderId="5" xfId="0" applyFont="1" applyBorder="1" applyAlignment="1">
      <alignment horizontal="right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3" fontId="0" fillId="0" borderId="0" xfId="0" applyNumberFormat="1">
      <alignment vertical="center"/>
    </xf>
    <xf numFmtId="0" fontId="4" fillId="3" borderId="6" xfId="0" applyFont="1" applyFill="1" applyBorder="1" applyAlignment="1">
      <alignment vertical="center" wrapText="1"/>
    </xf>
    <xf numFmtId="3" fontId="4" fillId="3" borderId="4" xfId="0" applyNumberFormat="1" applyFont="1" applyFill="1" applyBorder="1" applyAlignment="1">
      <alignment horizontal="right" vertical="center" wrapText="1"/>
    </xf>
    <xf numFmtId="3" fontId="4" fillId="3" borderId="5" xfId="0" applyNumberFormat="1" applyFont="1" applyFill="1" applyBorder="1" applyAlignment="1">
      <alignment horizontal="right" vertical="center" wrapText="1"/>
    </xf>
    <xf numFmtId="0" fontId="4" fillId="4" borderId="6" xfId="0" applyFont="1" applyFill="1" applyBorder="1" applyAlignment="1">
      <alignment vertical="center" wrapText="1"/>
    </xf>
    <xf numFmtId="3" fontId="4" fillId="4" borderId="4" xfId="0" applyNumberFormat="1" applyFont="1" applyFill="1" applyBorder="1" applyAlignment="1">
      <alignment horizontal="right" vertical="center" wrapText="1"/>
    </xf>
    <xf numFmtId="3" fontId="4" fillId="4" borderId="5" xfId="0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2" xfId="0" applyBorder="1">
      <alignment vertical="center"/>
    </xf>
    <xf numFmtId="0" fontId="0" fillId="0" borderId="0" xfId="0" applyAlignment="1">
      <alignment horizontal="right" vertical="center"/>
    </xf>
    <xf numFmtId="0" fontId="4" fillId="5" borderId="6" xfId="0" applyFont="1" applyFill="1" applyBorder="1" applyAlignment="1">
      <alignment vertical="center" wrapText="1"/>
    </xf>
    <xf numFmtId="3" fontId="4" fillId="5" borderId="4" xfId="0" applyNumberFormat="1" applyFont="1" applyFill="1" applyBorder="1" applyAlignment="1">
      <alignment horizontal="right" vertical="center" wrapText="1"/>
    </xf>
    <xf numFmtId="3" fontId="4" fillId="5" borderId="5" xfId="0" applyNumberFormat="1" applyFont="1" applyFill="1" applyBorder="1" applyAlignment="1">
      <alignment horizontal="right" vertical="center" wrapText="1"/>
    </xf>
    <xf numFmtId="0" fontId="0" fillId="5" borderId="0" xfId="0" applyFill="1" applyAlignment="1">
      <alignment horizontal="center" vertical="center"/>
    </xf>
    <xf numFmtId="3" fontId="0" fillId="5" borderId="0" xfId="0" applyNumberFormat="1" applyFill="1">
      <alignment vertical="center"/>
    </xf>
    <xf numFmtId="0" fontId="0" fillId="3" borderId="0" xfId="0" applyFill="1" applyAlignment="1">
      <alignment horizontal="center" vertical="center"/>
    </xf>
    <xf numFmtId="3" fontId="0" fillId="3" borderId="0" xfId="0" applyNumberFormat="1" applyFill="1">
      <alignment vertical="center"/>
    </xf>
    <xf numFmtId="0" fontId="4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vertical="center" wrapText="1"/>
    </xf>
    <xf numFmtId="0" fontId="4" fillId="0" borderId="5" xfId="0" applyFont="1" applyBorder="1" applyAlignment="1">
      <alignment horizontal="right" vertical="top" wrapText="1"/>
    </xf>
    <xf numFmtId="3" fontId="4" fillId="0" borderId="5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vertical="top" wrapText="1"/>
    </xf>
    <xf numFmtId="3" fontId="4" fillId="0" borderId="4" xfId="0" applyNumberFormat="1" applyFont="1" applyBorder="1" applyAlignment="1">
      <alignment horizontal="right" vertical="top" wrapText="1"/>
    </xf>
    <xf numFmtId="0" fontId="4" fillId="0" borderId="4" xfId="0" applyFont="1" applyBorder="1" applyAlignment="1">
      <alignment horizontal="right" vertical="top" wrapText="1"/>
    </xf>
    <xf numFmtId="0" fontId="4" fillId="0" borderId="3" xfId="0" applyFont="1" applyBorder="1" applyAlignment="1">
      <alignment vertical="top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0" fontId="4" fillId="0" borderId="2" xfId="0" applyFont="1" applyBorder="1" applyAlignment="1">
      <alignment horizontal="right" vertical="top" wrapText="1"/>
    </xf>
    <xf numFmtId="3" fontId="4" fillId="0" borderId="1" xfId="0" applyNumberFormat="1" applyFont="1" applyBorder="1" applyAlignment="1">
      <alignment horizontal="right" vertical="top" wrapText="1"/>
    </xf>
    <xf numFmtId="0" fontId="4" fillId="0" borderId="0" xfId="0" applyFont="1" applyAlignment="1">
      <alignment horizontal="center" vertical="center" wrapText="1"/>
    </xf>
    <xf numFmtId="0" fontId="5" fillId="3" borderId="5" xfId="0" applyFont="1" applyFill="1" applyBorder="1" applyAlignment="1">
      <alignment horizontal="right" vertical="top" wrapText="1"/>
    </xf>
    <xf numFmtId="3" fontId="5" fillId="3" borderId="4" xfId="0" applyNumberFormat="1" applyFont="1" applyFill="1" applyBorder="1" applyAlignment="1">
      <alignment horizontal="right" vertical="top" wrapText="1"/>
    </xf>
    <xf numFmtId="3" fontId="5" fillId="0" borderId="5" xfId="0" applyNumberFormat="1" applyFont="1" applyBorder="1" applyAlignment="1">
      <alignment horizontal="right" vertical="top" wrapText="1"/>
    </xf>
    <xf numFmtId="0" fontId="5" fillId="0" borderId="4" xfId="0" applyFont="1" applyBorder="1" applyAlignment="1">
      <alignment horizontal="right" vertical="top" wrapText="1"/>
    </xf>
    <xf numFmtId="0" fontId="5" fillId="0" borderId="5" xfId="0" applyFont="1" applyBorder="1" applyAlignment="1">
      <alignment horizontal="right" vertical="top" wrapText="1"/>
    </xf>
    <xf numFmtId="3" fontId="5" fillId="0" borderId="4" xfId="0" applyNumberFormat="1" applyFont="1" applyBorder="1" applyAlignment="1">
      <alignment horizontal="right" vertical="top" wrapText="1"/>
    </xf>
    <xf numFmtId="0" fontId="5" fillId="0" borderId="2" xfId="0" applyFont="1" applyBorder="1" applyAlignment="1">
      <alignment horizontal="right" vertical="top" wrapText="1"/>
    </xf>
    <xf numFmtId="0" fontId="6" fillId="0" borderId="0" xfId="0" applyFont="1">
      <alignment vertical="center"/>
    </xf>
    <xf numFmtId="0" fontId="4" fillId="4" borderId="6" xfId="0" applyFont="1" applyFill="1" applyBorder="1" applyAlignment="1">
      <alignment vertical="top" wrapText="1"/>
    </xf>
    <xf numFmtId="0" fontId="4" fillId="4" borderId="5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right" vertical="top" wrapText="1"/>
    </xf>
    <xf numFmtId="3" fontId="5" fillId="4" borderId="4" xfId="0" applyNumberFormat="1" applyFont="1" applyFill="1" applyBorder="1" applyAlignment="1">
      <alignment horizontal="right" vertical="top" wrapText="1"/>
    </xf>
    <xf numFmtId="0" fontId="4" fillId="4" borderId="5" xfId="0" applyFont="1" applyFill="1" applyBorder="1" applyAlignment="1">
      <alignment horizontal="right" vertical="top" wrapText="1"/>
    </xf>
    <xf numFmtId="3" fontId="4" fillId="4" borderId="4" xfId="0" applyNumberFormat="1" applyFont="1" applyFill="1" applyBorder="1" applyAlignment="1">
      <alignment horizontal="right" vertical="top" wrapText="1"/>
    </xf>
    <xf numFmtId="0" fontId="4" fillId="4" borderId="5" xfId="0" applyFont="1" applyFill="1" applyBorder="1" applyAlignment="1">
      <alignment vertical="center" wrapText="1"/>
    </xf>
    <xf numFmtId="0" fontId="4" fillId="3" borderId="6" xfId="0" applyFont="1" applyFill="1" applyBorder="1" applyAlignment="1">
      <alignment vertical="top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right" vertical="top" wrapText="1"/>
    </xf>
    <xf numFmtId="3" fontId="4" fillId="3" borderId="4" xfId="0" applyNumberFormat="1" applyFont="1" applyFill="1" applyBorder="1" applyAlignment="1">
      <alignment horizontal="right" vertical="top" wrapText="1"/>
    </xf>
    <xf numFmtId="0" fontId="4" fillId="3" borderId="5" xfId="0" applyFont="1" applyFill="1" applyBorder="1" applyAlignment="1">
      <alignment vertical="center" wrapText="1"/>
    </xf>
    <xf numFmtId="0" fontId="4" fillId="5" borderId="6" xfId="0" applyFont="1" applyFill="1" applyBorder="1" applyAlignment="1">
      <alignment vertical="top" wrapText="1"/>
    </xf>
    <xf numFmtId="0" fontId="4" fillId="5" borderId="5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right" vertical="top" wrapText="1"/>
    </xf>
    <xf numFmtId="3" fontId="5" fillId="5" borderId="4" xfId="0" applyNumberFormat="1" applyFont="1" applyFill="1" applyBorder="1" applyAlignment="1">
      <alignment horizontal="right" vertical="top" wrapText="1"/>
    </xf>
    <xf numFmtId="0" fontId="4" fillId="5" borderId="5" xfId="0" applyFont="1" applyFill="1" applyBorder="1" applyAlignment="1">
      <alignment horizontal="right" vertical="top" wrapText="1"/>
    </xf>
    <xf numFmtId="3" fontId="4" fillId="5" borderId="4" xfId="0" applyNumberFormat="1" applyFont="1" applyFill="1" applyBorder="1" applyAlignment="1">
      <alignment horizontal="right" vertical="top" wrapText="1"/>
    </xf>
    <xf numFmtId="0" fontId="4" fillId="5" borderId="5" xfId="0" applyFont="1" applyFill="1" applyBorder="1" applyAlignment="1">
      <alignment vertical="center" wrapText="1"/>
    </xf>
    <xf numFmtId="0" fontId="5" fillId="4" borderId="4" xfId="0" applyFont="1" applyFill="1" applyBorder="1" applyAlignment="1">
      <alignment horizontal="right" vertical="top" wrapText="1"/>
    </xf>
    <xf numFmtId="0" fontId="4" fillId="4" borderId="4" xfId="0" applyFont="1" applyFill="1" applyBorder="1" applyAlignment="1">
      <alignment horizontal="right" vertical="top" wrapText="1"/>
    </xf>
    <xf numFmtId="0" fontId="0" fillId="4" borderId="0" xfId="0" applyFill="1" applyAlignment="1">
      <alignment horizontal="center" vertical="center"/>
    </xf>
    <xf numFmtId="3" fontId="0" fillId="4" borderId="0" xfId="0" applyNumberFormat="1" applyFill="1">
      <alignment vertical="center"/>
    </xf>
    <xf numFmtId="0" fontId="5" fillId="2" borderId="9" xfId="0" applyFont="1" applyFill="1" applyBorder="1" applyAlignment="1">
      <alignment horizontal="center" vertical="center" wrapText="1"/>
    </xf>
    <xf numFmtId="3" fontId="4" fillId="3" borderId="5" xfId="0" applyNumberFormat="1" applyFont="1" applyFill="1" applyBorder="1" applyAlignment="1">
      <alignment horizontal="right" vertical="top" wrapText="1"/>
    </xf>
    <xf numFmtId="3" fontId="4" fillId="4" borderId="5" xfId="0" applyNumberFormat="1" applyFont="1" applyFill="1" applyBorder="1" applyAlignment="1">
      <alignment horizontal="right" vertical="top" wrapText="1"/>
    </xf>
    <xf numFmtId="0" fontId="4" fillId="5" borderId="3" xfId="0" applyFont="1" applyFill="1" applyBorder="1" applyAlignment="1">
      <alignment vertical="top" wrapText="1"/>
    </xf>
    <xf numFmtId="0" fontId="4" fillId="5" borderId="2" xfId="0" applyFont="1" applyFill="1" applyBorder="1" applyAlignment="1">
      <alignment horizontal="right" vertical="top" wrapText="1"/>
    </xf>
    <xf numFmtId="3" fontId="4" fillId="5" borderId="1" xfId="0" applyNumberFormat="1" applyFont="1" applyFill="1" applyBorder="1" applyAlignment="1">
      <alignment horizontal="right" vertical="top" wrapText="1"/>
    </xf>
    <xf numFmtId="3" fontId="4" fillId="5" borderId="2" xfId="0" applyNumberFormat="1" applyFont="1" applyFill="1" applyBorder="1" applyAlignment="1">
      <alignment horizontal="right" vertical="top" wrapText="1"/>
    </xf>
    <xf numFmtId="0" fontId="4" fillId="0" borderId="6" xfId="0" applyFont="1" applyFill="1" applyBorder="1" applyAlignment="1">
      <alignment vertical="top" wrapText="1"/>
    </xf>
    <xf numFmtId="0" fontId="4" fillId="0" borderId="5" xfId="0" applyFont="1" applyFill="1" applyBorder="1" applyAlignment="1">
      <alignment horizontal="right" vertical="top" wrapText="1"/>
    </xf>
    <xf numFmtId="3" fontId="4" fillId="0" borderId="4" xfId="0" applyNumberFormat="1" applyFont="1" applyFill="1" applyBorder="1" applyAlignment="1">
      <alignment horizontal="right" vertical="top" wrapText="1"/>
    </xf>
    <xf numFmtId="3" fontId="4" fillId="0" borderId="5" xfId="0" applyNumberFormat="1" applyFont="1" applyFill="1" applyBorder="1" applyAlignment="1">
      <alignment horizontal="right" vertical="top" wrapText="1"/>
    </xf>
    <xf numFmtId="0" fontId="4" fillId="0" borderId="4" xfId="0" applyFont="1" applyFill="1" applyBorder="1" applyAlignment="1">
      <alignment horizontal="right" vertical="top" wrapText="1"/>
    </xf>
    <xf numFmtId="3" fontId="2" fillId="4" borderId="0" xfId="0" applyNumberFormat="1" applyFont="1" applyFill="1">
      <alignment vertical="center"/>
    </xf>
    <xf numFmtId="0" fontId="4" fillId="0" borderId="6" xfId="0" applyFont="1" applyBorder="1" applyAlignment="1">
      <alignment vertical="top" wrapText="1" indent="1"/>
    </xf>
    <xf numFmtId="0" fontId="4" fillId="0" borderId="1" xfId="0" applyFont="1" applyBorder="1" applyAlignment="1">
      <alignment horizontal="right" vertical="top" wrapText="1"/>
    </xf>
    <xf numFmtId="0" fontId="5" fillId="0" borderId="1" xfId="0" applyFont="1" applyBorder="1" applyAlignment="1">
      <alignment horizontal="right" vertical="top" wrapText="1"/>
    </xf>
    <xf numFmtId="0" fontId="5" fillId="3" borderId="6" xfId="0" applyFont="1" applyFill="1" applyBorder="1" applyAlignment="1">
      <alignment vertical="top" wrapText="1"/>
    </xf>
    <xf numFmtId="0" fontId="5" fillId="0" borderId="6" xfId="0" applyFont="1" applyBorder="1" applyAlignment="1">
      <alignment vertical="top" wrapText="1" indent="1"/>
    </xf>
    <xf numFmtId="0" fontId="5" fillId="0" borderId="6" xfId="0" applyFont="1" applyBorder="1" applyAlignment="1">
      <alignment vertical="top" wrapText="1"/>
    </xf>
    <xf numFmtId="0" fontId="5" fillId="0" borderId="6" xfId="0" applyFont="1" applyBorder="1" applyAlignment="1">
      <alignment vertical="top" wrapText="1" indent="2"/>
    </xf>
    <xf numFmtId="0" fontId="5" fillId="0" borderId="3" xfId="0" applyFont="1" applyBorder="1" applyAlignment="1">
      <alignment vertical="top" wrapText="1" indent="1"/>
    </xf>
    <xf numFmtId="0" fontId="5" fillId="4" borderId="6" xfId="0" applyFont="1" applyFill="1" applyBorder="1" applyAlignment="1">
      <alignment vertical="top" wrapText="1"/>
    </xf>
    <xf numFmtId="0" fontId="5" fillId="4" borderId="6" xfId="0" applyFont="1" applyFill="1" applyBorder="1" applyAlignment="1">
      <alignment vertical="top" wrapText="1" indent="2"/>
    </xf>
    <xf numFmtId="3" fontId="5" fillId="4" borderId="5" xfId="0" applyNumberFormat="1" applyFont="1" applyFill="1" applyBorder="1" applyAlignment="1">
      <alignment horizontal="right" vertical="top" wrapText="1"/>
    </xf>
    <xf numFmtId="0" fontId="4" fillId="4" borderId="6" xfId="0" applyFont="1" applyFill="1" applyBorder="1" applyAlignment="1">
      <alignment vertical="top" wrapText="1" indent="1"/>
    </xf>
    <xf numFmtId="0" fontId="5" fillId="5" borderId="6" xfId="0" applyFont="1" applyFill="1" applyBorder="1" applyAlignment="1">
      <alignment vertical="top" wrapText="1"/>
    </xf>
    <xf numFmtId="3" fontId="4" fillId="5" borderId="5" xfId="0" applyNumberFormat="1" applyFont="1" applyFill="1" applyBorder="1" applyAlignment="1">
      <alignment horizontal="right" vertical="top" wrapText="1"/>
    </xf>
    <xf numFmtId="0" fontId="4" fillId="0" borderId="2" xfId="0" applyFont="1" applyBorder="1" applyAlignment="1">
      <alignment horizontal="right" vertical="center" wrapText="1"/>
    </xf>
    <xf numFmtId="0" fontId="4" fillId="0" borderId="1" xfId="0" applyFont="1" applyBorder="1" applyAlignment="1">
      <alignment horizontal="right" vertical="center" wrapText="1"/>
    </xf>
    <xf numFmtId="0" fontId="4" fillId="4" borderId="5" xfId="0" applyFont="1" applyFill="1" applyBorder="1" applyAlignment="1">
      <alignment horizontal="right" vertical="center" wrapText="1"/>
    </xf>
    <xf numFmtId="0" fontId="4" fillId="3" borderId="5" xfId="0" applyFont="1" applyFill="1" applyBorder="1" applyAlignment="1">
      <alignment horizontal="right" vertical="center" wrapText="1"/>
    </xf>
    <xf numFmtId="0" fontId="4" fillId="5" borderId="5" xfId="0" applyFont="1" applyFill="1" applyBorder="1" applyAlignment="1">
      <alignment horizontal="right" vertical="center" wrapText="1"/>
    </xf>
    <xf numFmtId="0" fontId="4" fillId="0" borderId="0" xfId="0" applyFont="1" applyFill="1" applyBorder="1" applyAlignment="1">
      <alignment vertical="center" wrapText="1"/>
    </xf>
    <xf numFmtId="3" fontId="0" fillId="4" borderId="16" xfId="0" applyNumberFormat="1" applyFill="1" applyBorder="1">
      <alignment vertical="center"/>
    </xf>
    <xf numFmtId="0" fontId="4" fillId="4" borderId="16" xfId="0" applyFont="1" applyFill="1" applyBorder="1" applyAlignment="1">
      <alignment vertical="center" wrapText="1"/>
    </xf>
    <xf numFmtId="0" fontId="4" fillId="4" borderId="12" xfId="0" applyFont="1" applyFill="1" applyBorder="1" applyAlignment="1">
      <alignment vertical="center" wrapText="1"/>
    </xf>
    <xf numFmtId="3" fontId="0" fillId="4" borderId="12" xfId="0" applyNumberFormat="1" applyFill="1" applyBorder="1">
      <alignment vertical="center"/>
    </xf>
    <xf numFmtId="0" fontId="11" fillId="0" borderId="0" xfId="0" applyFont="1">
      <alignment vertical="center"/>
    </xf>
    <xf numFmtId="0" fontId="11" fillId="0" borderId="0" xfId="0" applyFont="1" applyAlignment="1">
      <alignment horizontal="right" vertical="center"/>
    </xf>
    <xf numFmtId="0" fontId="11" fillId="0" borderId="16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176" fontId="11" fillId="0" borderId="0" xfId="1" applyNumberFormat="1" applyFont="1" applyBorder="1" applyAlignment="1">
      <alignment horizontal="right" vertical="center"/>
    </xf>
    <xf numFmtId="0" fontId="11" fillId="0" borderId="0" xfId="0" applyFont="1" applyBorder="1" applyAlignment="1">
      <alignment horizontal="left" vertical="center"/>
    </xf>
    <xf numFmtId="0" fontId="11" fillId="0" borderId="0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176" fontId="11" fillId="0" borderId="15" xfId="1" applyNumberFormat="1" applyFont="1" applyBorder="1" applyAlignment="1">
      <alignment horizontal="right" vertical="center"/>
    </xf>
    <xf numFmtId="0" fontId="11" fillId="0" borderId="15" xfId="0" applyFont="1" applyBorder="1">
      <alignment vertical="center"/>
    </xf>
    <xf numFmtId="0" fontId="11" fillId="0" borderId="0" xfId="0" applyFont="1" applyBorder="1">
      <alignment vertical="center"/>
    </xf>
    <xf numFmtId="0" fontId="11" fillId="0" borderId="21" xfId="0" applyFont="1" applyBorder="1" applyAlignment="1">
      <alignment horizontal="center" vertical="center"/>
    </xf>
    <xf numFmtId="176" fontId="11" fillId="0" borderId="16" xfId="1" applyNumberFormat="1" applyFont="1" applyBorder="1" applyAlignment="1">
      <alignment horizontal="right" vertical="center"/>
    </xf>
    <xf numFmtId="0" fontId="11" fillId="0" borderId="16" xfId="0" applyFont="1" applyBorder="1">
      <alignment vertical="center"/>
    </xf>
    <xf numFmtId="0" fontId="11" fillId="0" borderId="0" xfId="0" applyFont="1" applyFill="1" applyBorder="1" applyAlignment="1">
      <alignment vertical="center"/>
    </xf>
    <xf numFmtId="0" fontId="11" fillId="0" borderId="16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11" fillId="4" borderId="15" xfId="0" applyFont="1" applyFill="1" applyBorder="1" applyAlignment="1">
      <alignment horizontal="center" vertical="center"/>
    </xf>
    <xf numFmtId="0" fontId="11" fillId="3" borderId="15" xfId="0" applyFont="1" applyFill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1" fillId="4" borderId="17" xfId="0" applyFont="1" applyFill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1" fillId="5" borderId="23" xfId="0" applyFont="1" applyFill="1" applyBorder="1" applyAlignment="1">
      <alignment horizontal="center" vertical="center"/>
    </xf>
    <xf numFmtId="176" fontId="11" fillId="5" borderId="12" xfId="1" applyNumberFormat="1" applyFont="1" applyFill="1" applyBorder="1" applyAlignment="1">
      <alignment horizontal="right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86D26-C3A3-43C2-B010-416C35F75F38}">
  <dimension ref="A2:L45"/>
  <sheetViews>
    <sheetView zoomScale="70" zoomScaleNormal="70" workbookViewId="0">
      <selection activeCell="C28" sqref="C28"/>
    </sheetView>
  </sheetViews>
  <sheetFormatPr defaultRowHeight="17.399999999999999" x14ac:dyDescent="0.4"/>
  <cols>
    <col min="1" max="1" width="53.796875" bestFit="1" customWidth="1"/>
    <col min="2" max="3" width="18.3984375" bestFit="1" customWidth="1"/>
    <col min="4" max="5" width="18.5" bestFit="1" customWidth="1"/>
    <col min="8" max="9" width="16.69921875" bestFit="1" customWidth="1"/>
    <col min="10" max="11" width="18.3984375" bestFit="1" customWidth="1"/>
  </cols>
  <sheetData>
    <row r="2" spans="1:12" x14ac:dyDescent="0.4">
      <c r="B2">
        <v>2022</v>
      </c>
      <c r="C2">
        <v>2023</v>
      </c>
      <c r="D2">
        <v>2024</v>
      </c>
      <c r="E2">
        <v>2025</v>
      </c>
      <c r="J2" s="22"/>
      <c r="K2" s="22" t="s">
        <v>50</v>
      </c>
    </row>
    <row r="3" spans="1:12" x14ac:dyDescent="0.4">
      <c r="A3" s="11"/>
      <c r="B3" s="9" t="s">
        <v>40</v>
      </c>
      <c r="C3" s="10" t="s">
        <v>41</v>
      </c>
      <c r="D3" s="10" t="s">
        <v>42</v>
      </c>
      <c r="E3" s="10" t="s">
        <v>413</v>
      </c>
      <c r="G3" s="20" t="s">
        <v>49</v>
      </c>
      <c r="H3" s="21">
        <v>2022</v>
      </c>
      <c r="I3" s="21">
        <v>2023</v>
      </c>
      <c r="J3" s="21">
        <v>2024</v>
      </c>
      <c r="K3" s="21">
        <v>2025</v>
      </c>
    </row>
    <row r="4" spans="1:12" x14ac:dyDescent="0.4">
      <c r="A4" s="6" t="s">
        <v>39</v>
      </c>
      <c r="B4" s="4">
        <v>8031651241233</v>
      </c>
      <c r="C4" s="5">
        <v>8588656501947</v>
      </c>
      <c r="D4" s="5">
        <v>10210184320220</v>
      </c>
      <c r="E4" s="5">
        <v>15715186906021</v>
      </c>
      <c r="G4" s="72" t="s">
        <v>231</v>
      </c>
      <c r="H4" s="73">
        <f>B25-B23</f>
        <v>1108840026058</v>
      </c>
      <c r="I4" s="73">
        <f>C25-C23</f>
        <v>920178061478</v>
      </c>
      <c r="J4" s="73">
        <f>D25-D23</f>
        <v>1604621014870</v>
      </c>
      <c r="K4" s="73">
        <f>E25+E23</f>
        <v>2038439013887</v>
      </c>
      <c r="L4" t="s">
        <v>414</v>
      </c>
    </row>
    <row r="5" spans="1:12" x14ac:dyDescent="0.4">
      <c r="A5" s="6" t="s">
        <v>38</v>
      </c>
      <c r="B5" s="4">
        <v>879728724977</v>
      </c>
      <c r="C5" s="5">
        <v>841325606195</v>
      </c>
      <c r="D5" s="5">
        <v>981147868497</v>
      </c>
      <c r="E5" s="5">
        <v>1326643915441</v>
      </c>
      <c r="G5" s="28" t="s">
        <v>46</v>
      </c>
      <c r="H5" s="29">
        <f>B25</f>
        <v>645745222154</v>
      </c>
      <c r="I5" s="29">
        <f>C25</f>
        <v>472385960719</v>
      </c>
      <c r="J5" s="29">
        <f>D25</f>
        <v>1024732993797</v>
      </c>
      <c r="K5" s="29">
        <f>E25</f>
        <v>1325457775596</v>
      </c>
      <c r="L5" t="s">
        <v>415</v>
      </c>
    </row>
    <row r="6" spans="1:12" x14ac:dyDescent="0.4">
      <c r="A6" s="6" t="s">
        <v>37</v>
      </c>
      <c r="B6" s="4">
        <v>1422472224381</v>
      </c>
      <c r="C6" s="5">
        <v>1919236994116</v>
      </c>
      <c r="D6" s="5">
        <v>1825903144451</v>
      </c>
      <c r="E6" s="5">
        <v>3307057873640</v>
      </c>
      <c r="G6" s="26" t="s">
        <v>47</v>
      </c>
      <c r="H6" s="27">
        <f>B30</f>
        <v>493104211865</v>
      </c>
      <c r="I6" s="27">
        <f>C30</f>
        <v>338377541866</v>
      </c>
      <c r="J6" s="27">
        <f>D30</f>
        <v>815077919836</v>
      </c>
      <c r="K6" s="27">
        <f>E30</f>
        <v>1099404053545</v>
      </c>
    </row>
    <row r="7" spans="1:12" x14ac:dyDescent="0.4">
      <c r="A7" s="6" t="s">
        <v>36</v>
      </c>
      <c r="B7" s="4">
        <v>3708606911147</v>
      </c>
      <c r="C7" s="5">
        <v>3616795370404</v>
      </c>
      <c r="D7" s="5">
        <v>4852810045985</v>
      </c>
      <c r="E7" s="5">
        <v>7937394374279</v>
      </c>
    </row>
    <row r="8" spans="1:12" x14ac:dyDescent="0.4">
      <c r="A8" s="6" t="s">
        <v>35</v>
      </c>
      <c r="B8" s="4">
        <v>25548530300</v>
      </c>
      <c r="C8" s="5">
        <v>37451395449</v>
      </c>
      <c r="D8" s="5">
        <v>27969134650</v>
      </c>
      <c r="E8" s="5">
        <v>36242955725</v>
      </c>
    </row>
    <row r="9" spans="1:12" x14ac:dyDescent="0.4">
      <c r="A9" s="6" t="s">
        <v>34</v>
      </c>
      <c r="B9" s="7"/>
      <c r="C9" s="5">
        <v>540141698</v>
      </c>
      <c r="D9" s="5">
        <v>122383378</v>
      </c>
      <c r="E9" s="5">
        <v>30000000</v>
      </c>
      <c r="G9" t="s">
        <v>48</v>
      </c>
      <c r="J9" s="22"/>
      <c r="K9" s="22" t="s">
        <v>51</v>
      </c>
    </row>
    <row r="10" spans="1:12" x14ac:dyDescent="0.4">
      <c r="A10" s="6" t="s">
        <v>33</v>
      </c>
      <c r="B10" s="4">
        <v>709816280534</v>
      </c>
      <c r="C10" s="5">
        <v>1105280269530</v>
      </c>
      <c r="D10" s="5">
        <v>1095474457058</v>
      </c>
      <c r="E10" s="5">
        <v>1217412708435</v>
      </c>
      <c r="G10" s="20" t="s">
        <v>49</v>
      </c>
      <c r="H10" s="21">
        <v>2022</v>
      </c>
      <c r="I10" s="21">
        <v>2023</v>
      </c>
      <c r="J10" s="21">
        <v>2024</v>
      </c>
      <c r="K10" s="21">
        <f>K3</f>
        <v>2025</v>
      </c>
    </row>
    <row r="11" spans="1:12" x14ac:dyDescent="0.4">
      <c r="A11" s="6" t="s">
        <v>32</v>
      </c>
      <c r="B11" s="4">
        <v>483275123308</v>
      </c>
      <c r="C11" s="5">
        <v>668886499916</v>
      </c>
      <c r="D11" s="5">
        <v>650108129741</v>
      </c>
      <c r="E11" s="5">
        <v>714901901221</v>
      </c>
      <c r="G11" s="72" t="s">
        <v>231</v>
      </c>
      <c r="H11" s="73">
        <f t="shared" ref="H11:J13" si="0">H4/1000000</f>
        <v>1108840.026058</v>
      </c>
      <c r="I11" s="73">
        <f t="shared" si="0"/>
        <v>920178.06147800002</v>
      </c>
      <c r="J11" s="73">
        <f t="shared" si="0"/>
        <v>1604621.0148700001</v>
      </c>
      <c r="K11" s="73">
        <f t="shared" ref="K11" si="1">K4/1000000</f>
        <v>2038439.013887</v>
      </c>
      <c r="L11" t="s">
        <v>414</v>
      </c>
    </row>
    <row r="12" spans="1:12" x14ac:dyDescent="0.4">
      <c r="A12" s="6" t="s">
        <v>31</v>
      </c>
      <c r="B12" s="4">
        <v>226541157226</v>
      </c>
      <c r="C12" s="5">
        <v>436393769614</v>
      </c>
      <c r="D12" s="5">
        <v>445366327317</v>
      </c>
      <c r="E12" s="5">
        <v>502510807214</v>
      </c>
      <c r="G12" s="28" t="s">
        <v>46</v>
      </c>
      <c r="H12" s="29">
        <f t="shared" si="0"/>
        <v>645745.22215399996</v>
      </c>
      <c r="I12" s="29">
        <f t="shared" si="0"/>
        <v>472385.96071900002</v>
      </c>
      <c r="J12" s="29">
        <f t="shared" si="0"/>
        <v>1024732.993797</v>
      </c>
      <c r="K12" s="29">
        <f t="shared" ref="K12" si="2">K5/1000000</f>
        <v>1325457.775596</v>
      </c>
      <c r="L12" t="s">
        <v>415</v>
      </c>
    </row>
    <row r="13" spans="1:12" x14ac:dyDescent="0.4">
      <c r="A13" s="6" t="s">
        <v>30</v>
      </c>
      <c r="B13" s="4">
        <v>1278156442125</v>
      </c>
      <c r="C13" s="5">
        <v>1043885464452</v>
      </c>
      <c r="D13" s="5">
        <v>1419860612305</v>
      </c>
      <c r="E13" s="5">
        <v>1880351711978</v>
      </c>
      <c r="G13" s="26" t="s">
        <v>47</v>
      </c>
      <c r="H13" s="27">
        <f t="shared" si="0"/>
        <v>493104.21186500002</v>
      </c>
      <c r="I13" s="27">
        <f t="shared" si="0"/>
        <v>338377.54186599999</v>
      </c>
      <c r="J13" s="27">
        <f t="shared" si="0"/>
        <v>815077.91983599996</v>
      </c>
      <c r="K13" s="27">
        <f t="shared" ref="K13" si="3">K6/1000000</f>
        <v>1099404.053545</v>
      </c>
    </row>
    <row r="14" spans="1:12" x14ac:dyDescent="0.4">
      <c r="A14" s="6" t="s">
        <v>29</v>
      </c>
      <c r="B14" s="4">
        <v>7322127769</v>
      </c>
      <c r="C14" s="5">
        <v>24141260103</v>
      </c>
      <c r="D14" s="5">
        <v>6896673896</v>
      </c>
      <c r="E14" s="5">
        <v>10053366523</v>
      </c>
    </row>
    <row r="15" spans="1:12" x14ac:dyDescent="0.4">
      <c r="A15" s="6" t="s">
        <v>28</v>
      </c>
      <c r="B15" s="4">
        <v>-7385906019079</v>
      </c>
      <c r="C15" s="5">
        <v>-8116270541228</v>
      </c>
      <c r="D15" s="5">
        <v>-9185451326423</v>
      </c>
      <c r="E15" s="5">
        <v>14389729130425</v>
      </c>
    </row>
    <row r="16" spans="1:12" x14ac:dyDescent="0.4">
      <c r="A16" s="6" t="s">
        <v>27</v>
      </c>
      <c r="B16" s="4">
        <v>-224688317037</v>
      </c>
      <c r="C16" s="5">
        <v>-249990695402</v>
      </c>
      <c r="D16" s="5">
        <v>-227849730025</v>
      </c>
      <c r="E16" s="5">
        <v>303931600722</v>
      </c>
      <c r="G16" t="s">
        <v>52</v>
      </c>
      <c r="J16" s="22"/>
      <c r="K16" s="22" t="s">
        <v>53</v>
      </c>
    </row>
    <row r="17" spans="1:12" x14ac:dyDescent="0.4">
      <c r="A17" s="6" t="s">
        <v>26</v>
      </c>
      <c r="B17" s="4">
        <v>-1348863021981</v>
      </c>
      <c r="C17" s="5">
        <v>-1660298354651</v>
      </c>
      <c r="D17" s="5">
        <v>-1476017425255</v>
      </c>
      <c r="E17" s="5">
        <v>2785413688235</v>
      </c>
      <c r="G17" s="20" t="s">
        <v>49</v>
      </c>
      <c r="H17" s="21">
        <v>2022</v>
      </c>
      <c r="I17" s="21">
        <v>2023</v>
      </c>
      <c r="J17" s="21">
        <v>2024</v>
      </c>
      <c r="K17" s="21">
        <f>K10</f>
        <v>2025</v>
      </c>
    </row>
    <row r="18" spans="1:12" x14ac:dyDescent="0.4">
      <c r="A18" s="6" t="s">
        <v>25</v>
      </c>
      <c r="B18" s="4">
        <v>-3837601010236</v>
      </c>
      <c r="C18" s="5">
        <v>-3374457410698</v>
      </c>
      <c r="D18" s="5">
        <v>-4564939597569</v>
      </c>
      <c r="E18" s="5">
        <v>7925593273712</v>
      </c>
      <c r="G18" s="72" t="s">
        <v>231</v>
      </c>
      <c r="H18" s="73">
        <f t="shared" ref="H18:J20" si="4">H4/100000000</f>
        <v>11088.40026058</v>
      </c>
      <c r="I18" s="73">
        <f t="shared" si="4"/>
        <v>9201.7806147800002</v>
      </c>
      <c r="J18" s="73">
        <f t="shared" si="4"/>
        <v>16046.2101487</v>
      </c>
      <c r="K18" s="73">
        <f t="shared" ref="K18" si="5">K4/100000000</f>
        <v>20384.39013887</v>
      </c>
      <c r="L18" t="s">
        <v>414</v>
      </c>
    </row>
    <row r="19" spans="1:12" x14ac:dyDescent="0.4">
      <c r="A19" s="6" t="s">
        <v>24</v>
      </c>
      <c r="B19" s="4">
        <v>-5247189</v>
      </c>
      <c r="C19" s="8"/>
      <c r="D19" s="8"/>
      <c r="E19" s="8">
        <v>0</v>
      </c>
      <c r="G19" s="28" t="s">
        <v>46</v>
      </c>
      <c r="H19" s="29">
        <f t="shared" si="4"/>
        <v>6457.4522215400002</v>
      </c>
      <c r="I19" s="29">
        <f t="shared" si="4"/>
        <v>4723.8596071900001</v>
      </c>
      <c r="J19" s="29">
        <f t="shared" si="4"/>
        <v>10247.32993797</v>
      </c>
      <c r="K19" s="29">
        <f t="shared" ref="K19" si="6">K5/100000000</f>
        <v>13254.577755959999</v>
      </c>
      <c r="L19" t="s">
        <v>415</v>
      </c>
    </row>
    <row r="20" spans="1:12" x14ac:dyDescent="0.4">
      <c r="A20" s="6" t="s">
        <v>23</v>
      </c>
      <c r="B20" s="4">
        <v>-907229490</v>
      </c>
      <c r="C20" s="5">
        <v>-82340999</v>
      </c>
      <c r="D20" s="5">
        <v>-1898727299</v>
      </c>
      <c r="E20" s="5">
        <v>676665730</v>
      </c>
      <c r="G20" s="26" t="s">
        <v>47</v>
      </c>
      <c r="H20" s="27">
        <f t="shared" si="4"/>
        <v>4931.0421186499998</v>
      </c>
      <c r="I20" s="27">
        <f t="shared" si="4"/>
        <v>3383.77541866</v>
      </c>
      <c r="J20" s="27">
        <f t="shared" si="4"/>
        <v>8150.77919836</v>
      </c>
      <c r="K20" s="27">
        <f t="shared" ref="K20" si="7">K6/100000000</f>
        <v>10994.04053545</v>
      </c>
      <c r="L20" s="12"/>
    </row>
    <row r="21" spans="1:12" x14ac:dyDescent="0.4">
      <c r="A21" s="6" t="s">
        <v>22</v>
      </c>
      <c r="B21" s="4">
        <v>-310981629362</v>
      </c>
      <c r="C21" s="5">
        <v>-648557180716</v>
      </c>
      <c r="D21" s="5">
        <v>-698139339796</v>
      </c>
      <c r="E21" s="5">
        <v>721922735178</v>
      </c>
    </row>
    <row r="22" spans="1:12" x14ac:dyDescent="0.4">
      <c r="A22" s="6" t="s">
        <v>21</v>
      </c>
      <c r="B22" s="4">
        <v>-1136752314674</v>
      </c>
      <c r="C22" s="5">
        <v>-1044447844063</v>
      </c>
      <c r="D22" s="5">
        <v>-1493206313264</v>
      </c>
      <c r="E22" s="5">
        <v>1777644756877</v>
      </c>
      <c r="G22" s="50" t="s">
        <v>234</v>
      </c>
    </row>
    <row r="23" spans="1:12" x14ac:dyDescent="0.4">
      <c r="A23" s="16" t="s">
        <v>20</v>
      </c>
      <c r="B23" s="17">
        <v>-463094803904</v>
      </c>
      <c r="C23" s="18">
        <v>-447792100759</v>
      </c>
      <c r="D23" s="18">
        <v>-579888021073</v>
      </c>
      <c r="E23" s="18">
        <v>712981238291</v>
      </c>
    </row>
    <row r="24" spans="1:12" x14ac:dyDescent="0.4">
      <c r="A24" s="6" t="s">
        <v>19</v>
      </c>
      <c r="B24" s="4">
        <v>-63012445206</v>
      </c>
      <c r="C24" s="5">
        <v>-690644613940</v>
      </c>
      <c r="D24" s="5">
        <v>-143512172142</v>
      </c>
      <c r="E24" s="5">
        <v>161565171680</v>
      </c>
    </row>
    <row r="25" spans="1:12" x14ac:dyDescent="0.4">
      <c r="A25" s="13" t="s">
        <v>18</v>
      </c>
      <c r="B25" s="14">
        <v>645745222154</v>
      </c>
      <c r="C25" s="15">
        <v>472385960719</v>
      </c>
      <c r="D25" s="15">
        <v>1024732993797</v>
      </c>
      <c r="E25" s="15">
        <v>1325457775596</v>
      </c>
    </row>
    <row r="26" spans="1:12" x14ac:dyDescent="0.4">
      <c r="A26" s="6" t="s">
        <v>17</v>
      </c>
      <c r="B26" s="4">
        <v>65691968380</v>
      </c>
      <c r="C26" s="5">
        <v>63236147839</v>
      </c>
      <c r="D26" s="5">
        <v>92308586087</v>
      </c>
      <c r="E26" s="5">
        <v>165912440744</v>
      </c>
    </row>
    <row r="27" spans="1:12" x14ac:dyDescent="0.4">
      <c r="A27" s="6" t="s">
        <v>16</v>
      </c>
      <c r="B27" s="4">
        <v>-48126082087</v>
      </c>
      <c r="C27" s="5">
        <v>-84697552521</v>
      </c>
      <c r="D27" s="5">
        <v>-26762775119</v>
      </c>
      <c r="E27" s="5">
        <v>34344324775</v>
      </c>
    </row>
    <row r="28" spans="1:12" x14ac:dyDescent="0.4">
      <c r="A28" s="6" t="s">
        <v>15</v>
      </c>
      <c r="B28" s="4">
        <v>663311108447</v>
      </c>
      <c r="C28" s="5">
        <v>450924556037</v>
      </c>
      <c r="D28" s="5">
        <v>1090278804765</v>
      </c>
      <c r="E28" s="5">
        <v>1457025891565</v>
      </c>
    </row>
    <row r="29" spans="1:12" x14ac:dyDescent="0.4">
      <c r="A29" s="6" t="s">
        <v>14</v>
      </c>
      <c r="B29" s="4">
        <v>-170206896582</v>
      </c>
      <c r="C29" s="5">
        <v>-112547014171</v>
      </c>
      <c r="D29" s="5">
        <v>-275200884929</v>
      </c>
      <c r="E29" s="5">
        <v>357621838020</v>
      </c>
    </row>
    <row r="30" spans="1:12" x14ac:dyDescent="0.4">
      <c r="A30" s="23" t="s">
        <v>13</v>
      </c>
      <c r="B30" s="24">
        <v>493104211865</v>
      </c>
      <c r="C30" s="25">
        <v>338377541866</v>
      </c>
      <c r="D30" s="25">
        <v>815077919836</v>
      </c>
      <c r="E30" s="25">
        <v>1099404053545</v>
      </c>
    </row>
    <row r="31" spans="1:12" x14ac:dyDescent="0.4">
      <c r="A31" s="6" t="s">
        <v>12</v>
      </c>
      <c r="B31" s="4">
        <v>-28325664217</v>
      </c>
      <c r="C31" s="5">
        <v>-9437326203</v>
      </c>
      <c r="D31" s="5">
        <v>52675473546</v>
      </c>
      <c r="E31" s="5">
        <v>251969054090</v>
      </c>
    </row>
    <row r="32" spans="1:12" x14ac:dyDescent="0.4">
      <c r="A32" s="6" t="s">
        <v>11</v>
      </c>
      <c r="B32" s="7"/>
      <c r="C32" s="8"/>
      <c r="D32" s="8"/>
      <c r="E32" s="8"/>
    </row>
    <row r="33" spans="1:5" x14ac:dyDescent="0.4">
      <c r="A33" s="6" t="s">
        <v>10</v>
      </c>
      <c r="B33" s="4">
        <v>-223583000</v>
      </c>
      <c r="C33" s="5">
        <v>60363062</v>
      </c>
      <c r="D33" s="8"/>
      <c r="E33" s="8">
        <v>0</v>
      </c>
    </row>
    <row r="34" spans="1:5" x14ac:dyDescent="0.4">
      <c r="A34" s="6" t="s">
        <v>9</v>
      </c>
      <c r="B34" s="7"/>
      <c r="C34" s="8"/>
      <c r="D34" s="8"/>
      <c r="E34" s="8"/>
    </row>
    <row r="35" spans="1:5" x14ac:dyDescent="0.4">
      <c r="A35" s="6" t="s">
        <v>8</v>
      </c>
      <c r="B35" s="4">
        <v>-10368095014</v>
      </c>
      <c r="C35" s="5">
        <v>20456013929</v>
      </c>
      <c r="D35" s="5">
        <v>49635140766</v>
      </c>
      <c r="E35" s="5">
        <v>246242312041</v>
      </c>
    </row>
    <row r="36" spans="1:5" x14ac:dyDescent="0.4">
      <c r="A36" s="6" t="s">
        <v>7</v>
      </c>
      <c r="B36" s="4">
        <v>-20815970328</v>
      </c>
      <c r="C36" s="5">
        <v>-29742303556</v>
      </c>
      <c r="D36" s="5">
        <v>3843698552</v>
      </c>
      <c r="E36" s="5">
        <v>5694226649</v>
      </c>
    </row>
    <row r="37" spans="1:5" x14ac:dyDescent="0.4">
      <c r="A37" s="6" t="s">
        <v>6</v>
      </c>
      <c r="B37" s="4">
        <v>3081984125</v>
      </c>
      <c r="C37" s="5">
        <v>-211399638</v>
      </c>
      <c r="D37" s="5">
        <v>-803365772</v>
      </c>
      <c r="E37" s="5">
        <v>32515400</v>
      </c>
    </row>
    <row r="38" spans="1:5" x14ac:dyDescent="0.4">
      <c r="A38" s="6" t="s">
        <v>5</v>
      </c>
      <c r="B38" s="4">
        <v>464778547648</v>
      </c>
      <c r="C38" s="5">
        <v>328940215663</v>
      </c>
      <c r="D38" s="5">
        <v>867753393382</v>
      </c>
      <c r="E38" s="5">
        <v>1351373107635</v>
      </c>
    </row>
    <row r="39" spans="1:5" x14ac:dyDescent="0.4">
      <c r="A39" s="6" t="s">
        <v>4</v>
      </c>
      <c r="B39" s="7"/>
      <c r="C39" s="8"/>
      <c r="D39" s="8"/>
      <c r="E39" s="8"/>
    </row>
    <row r="40" spans="1:5" x14ac:dyDescent="0.4">
      <c r="A40" s="6" t="s">
        <v>3</v>
      </c>
      <c r="B40" s="4">
        <v>17410</v>
      </c>
      <c r="C40" s="5">
        <v>12020</v>
      </c>
      <c r="D40" s="5">
        <v>30527</v>
      </c>
      <c r="E40" s="5">
        <v>43815</v>
      </c>
    </row>
    <row r="41" spans="1:5" x14ac:dyDescent="0.4">
      <c r="A41" s="6" t="s">
        <v>2</v>
      </c>
      <c r="B41" s="4">
        <v>16025</v>
      </c>
      <c r="C41" s="5">
        <v>11624</v>
      </c>
      <c r="D41" s="5">
        <v>27874</v>
      </c>
      <c r="E41" s="5">
        <v>41524</v>
      </c>
    </row>
    <row r="42" spans="1:5" x14ac:dyDescent="0.4">
      <c r="A42" s="6" t="s">
        <v>1</v>
      </c>
      <c r="B42" s="4">
        <v>19833</v>
      </c>
      <c r="C42" s="5">
        <v>19221</v>
      </c>
      <c r="D42" s="5">
        <v>28619</v>
      </c>
      <c r="E42" s="5">
        <v>10309</v>
      </c>
    </row>
    <row r="43" spans="1:5" x14ac:dyDescent="0.4">
      <c r="A43" s="3" t="s">
        <v>0</v>
      </c>
      <c r="B43" s="1">
        <v>19833</v>
      </c>
      <c r="C43" s="2">
        <v>19221</v>
      </c>
      <c r="D43" s="2">
        <v>28619</v>
      </c>
      <c r="E43" s="2">
        <v>10309</v>
      </c>
    </row>
    <row r="45" spans="1:5" x14ac:dyDescent="0.4">
      <c r="E45" s="144" t="s">
        <v>416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DF9E8-0EB7-44F8-B287-8B756B77778F}">
  <dimension ref="A2:P26"/>
  <sheetViews>
    <sheetView zoomScale="70" zoomScaleNormal="70" workbookViewId="0">
      <selection activeCell="R11" sqref="R11"/>
    </sheetView>
  </sheetViews>
  <sheetFormatPr defaultRowHeight="17.399999999999999" x14ac:dyDescent="0.4"/>
  <cols>
    <col min="1" max="1" width="24.8984375" bestFit="1" customWidth="1"/>
    <col min="2" max="2" width="5.19921875" bestFit="1" customWidth="1"/>
    <col min="3" max="4" width="14.59765625" bestFit="1" customWidth="1"/>
    <col min="5" max="9" width="14.8984375" bestFit="1" customWidth="1"/>
    <col min="10" max="10" width="17.19921875" bestFit="1" customWidth="1"/>
    <col min="13" max="16" width="14.8984375" bestFit="1" customWidth="1"/>
  </cols>
  <sheetData>
    <row r="2" spans="1:16" x14ac:dyDescent="0.4">
      <c r="C2" s="127">
        <v>2022</v>
      </c>
      <c r="D2" s="127"/>
      <c r="E2" s="127">
        <v>2023</v>
      </c>
      <c r="F2" s="127"/>
      <c r="G2" s="127">
        <v>2024</v>
      </c>
      <c r="H2" s="127"/>
      <c r="I2" s="127">
        <v>2025</v>
      </c>
      <c r="J2" s="127"/>
      <c r="O2" s="22"/>
      <c r="P2" s="22" t="s">
        <v>50</v>
      </c>
    </row>
    <row r="3" spans="1:16" x14ac:dyDescent="0.4">
      <c r="A3" s="11" t="s">
        <v>54</v>
      </c>
      <c r="B3" s="10" t="s">
        <v>55</v>
      </c>
      <c r="C3" s="128" t="s">
        <v>74</v>
      </c>
      <c r="D3" s="129"/>
      <c r="E3" s="128" t="s">
        <v>57</v>
      </c>
      <c r="F3" s="129"/>
      <c r="G3" s="128" t="s">
        <v>56</v>
      </c>
      <c r="H3" s="130"/>
      <c r="I3" s="128" t="s">
        <v>417</v>
      </c>
      <c r="J3" s="130"/>
      <c r="L3" s="20" t="s">
        <v>49</v>
      </c>
      <c r="M3" s="21">
        <v>2022</v>
      </c>
      <c r="N3" s="21">
        <v>2023</v>
      </c>
      <c r="O3" s="21">
        <v>2024</v>
      </c>
      <c r="P3" s="21">
        <v>2025</v>
      </c>
    </row>
    <row r="4" spans="1:16" x14ac:dyDescent="0.4">
      <c r="A4" s="51" t="s">
        <v>43</v>
      </c>
      <c r="B4" s="52"/>
      <c r="C4" s="55"/>
      <c r="D4" s="56">
        <v>90024688867</v>
      </c>
      <c r="E4" s="55"/>
      <c r="F4" s="56">
        <v>81322396664</v>
      </c>
      <c r="G4" s="57"/>
      <c r="H4" s="18">
        <v>85841969094</v>
      </c>
      <c r="I4" s="57"/>
      <c r="J4" s="18">
        <v>125108643301</v>
      </c>
      <c r="L4" s="72" t="s">
        <v>233</v>
      </c>
      <c r="M4" s="86">
        <f>D4-C11</f>
        <v>80624359062</v>
      </c>
      <c r="N4" s="73">
        <f>F4-E11</f>
        <v>79368867734</v>
      </c>
      <c r="O4" s="73">
        <f>H4-G11</f>
        <v>84954285588</v>
      </c>
      <c r="P4" s="73">
        <f>+J4-I11</f>
        <v>121656798234</v>
      </c>
    </row>
    <row r="5" spans="1:16" x14ac:dyDescent="0.4">
      <c r="A5" s="34" t="s">
        <v>58</v>
      </c>
      <c r="B5" s="30">
        <v>20</v>
      </c>
      <c r="C5" s="33">
        <v>80070484408</v>
      </c>
      <c r="D5" s="36"/>
      <c r="E5" s="33">
        <v>71422299196</v>
      </c>
      <c r="F5" s="36"/>
      <c r="G5" s="5">
        <v>77621748695</v>
      </c>
      <c r="H5" s="31"/>
      <c r="I5" s="5">
        <v>92094289073</v>
      </c>
      <c r="J5" s="31"/>
      <c r="L5" s="28" t="s">
        <v>46</v>
      </c>
      <c r="M5" s="29">
        <f>D14</f>
        <v>27255369498</v>
      </c>
      <c r="N5" s="29">
        <f>F14</f>
        <v>22712705287</v>
      </c>
      <c r="O5" s="29">
        <f>H14</f>
        <v>22867230743</v>
      </c>
      <c r="P5" s="29">
        <f>+J14</f>
        <v>50049029913</v>
      </c>
    </row>
    <row r="6" spans="1:16" x14ac:dyDescent="0.4">
      <c r="A6" s="34" t="s">
        <v>59</v>
      </c>
      <c r="B6" s="30">
        <v>21</v>
      </c>
      <c r="C6" s="5">
        <v>6156609286</v>
      </c>
      <c r="D6" s="36"/>
      <c r="E6" s="5">
        <v>6876488815</v>
      </c>
      <c r="F6" s="36"/>
      <c r="G6" s="5">
        <v>4742261310</v>
      </c>
      <c r="H6" s="31"/>
      <c r="I6" s="5">
        <v>21679315487</v>
      </c>
      <c r="J6" s="31"/>
      <c r="L6" s="26" t="s">
        <v>47</v>
      </c>
      <c r="M6" s="27">
        <f>D19</f>
        <v>19466981535</v>
      </c>
      <c r="N6" s="27">
        <f>F19</f>
        <v>19325767712</v>
      </c>
      <c r="O6" s="27">
        <f>H19</f>
        <v>17648989053</v>
      </c>
      <c r="P6" s="27">
        <f>+J19</f>
        <v>46222786546</v>
      </c>
    </row>
    <row r="7" spans="1:16" x14ac:dyDescent="0.4">
      <c r="A7" s="34" t="s">
        <v>60</v>
      </c>
      <c r="B7" s="30">
        <v>22</v>
      </c>
      <c r="C7" s="33">
        <v>187788067</v>
      </c>
      <c r="D7" s="36"/>
      <c r="E7" s="33">
        <v>242127335</v>
      </c>
      <c r="F7" s="36"/>
      <c r="G7" s="5">
        <v>512517915</v>
      </c>
      <c r="H7" s="31"/>
      <c r="I7" s="5">
        <v>217361503</v>
      </c>
      <c r="J7" s="31"/>
    </row>
    <row r="8" spans="1:16" x14ac:dyDescent="0.4">
      <c r="A8" s="34" t="s">
        <v>61</v>
      </c>
      <c r="B8" s="30">
        <v>24</v>
      </c>
      <c r="C8" s="33">
        <v>3609807106</v>
      </c>
      <c r="D8" s="36"/>
      <c r="E8" s="33">
        <v>2781481318</v>
      </c>
      <c r="F8" s="36"/>
      <c r="G8" s="5">
        <v>2965441174</v>
      </c>
      <c r="H8" s="31"/>
      <c r="I8" s="5">
        <v>11117677238</v>
      </c>
      <c r="J8" s="31"/>
    </row>
    <row r="9" spans="1:16" x14ac:dyDescent="0.4">
      <c r="A9" s="34" t="s">
        <v>62</v>
      </c>
      <c r="B9" s="30"/>
      <c r="C9" s="32"/>
      <c r="D9" s="35">
        <v>62769319369</v>
      </c>
      <c r="E9" s="32"/>
      <c r="F9" s="35">
        <v>58609691377</v>
      </c>
      <c r="G9" s="31"/>
      <c r="H9" s="5">
        <v>62974738351</v>
      </c>
      <c r="I9" s="31"/>
      <c r="J9" s="5">
        <v>75059613388</v>
      </c>
      <c r="L9" t="s">
        <v>48</v>
      </c>
      <c r="O9" s="22"/>
      <c r="P9" s="22" t="s">
        <v>51</v>
      </c>
    </row>
    <row r="10" spans="1:16" x14ac:dyDescent="0.4">
      <c r="A10" s="34" t="s">
        <v>63</v>
      </c>
      <c r="B10" s="30">
        <v>20</v>
      </c>
      <c r="C10" s="33">
        <v>7506187426</v>
      </c>
      <c r="D10" s="36"/>
      <c r="E10" s="33">
        <v>7279265886</v>
      </c>
      <c r="F10" s="36"/>
      <c r="G10" s="5">
        <v>7821790900</v>
      </c>
      <c r="H10" s="31"/>
      <c r="I10" s="5">
        <v>8174497849</v>
      </c>
      <c r="J10" s="31"/>
      <c r="L10" s="20" t="s">
        <v>49</v>
      </c>
      <c r="M10" s="21">
        <v>2022</v>
      </c>
      <c r="N10" s="21">
        <v>2023</v>
      </c>
      <c r="O10" s="21">
        <v>2024</v>
      </c>
      <c r="P10" s="21">
        <v>2025</v>
      </c>
    </row>
    <row r="11" spans="1:16" x14ac:dyDescent="0.4">
      <c r="A11" s="51" t="s">
        <v>64</v>
      </c>
      <c r="B11" s="52">
        <v>21</v>
      </c>
      <c r="C11" s="18">
        <v>9400329805</v>
      </c>
      <c r="D11" s="71"/>
      <c r="E11" s="18">
        <v>1953528930</v>
      </c>
      <c r="F11" s="71"/>
      <c r="G11" s="18">
        <v>887683506</v>
      </c>
      <c r="H11" s="57"/>
      <c r="I11" s="18">
        <v>3451845067</v>
      </c>
      <c r="J11" s="57"/>
      <c r="L11" s="72" t="s">
        <v>233</v>
      </c>
      <c r="M11" s="73">
        <f t="shared" ref="M11:O13" si="0">M4/1000000</f>
        <v>80624.359062000003</v>
      </c>
      <c r="N11" s="73">
        <f t="shared" si="0"/>
        <v>79368.867733999999</v>
      </c>
      <c r="O11" s="73">
        <f t="shared" si="0"/>
        <v>84954.285587999999</v>
      </c>
      <c r="P11" s="73">
        <f t="shared" ref="P11" si="1">P4/1000000</f>
        <v>121656.798234</v>
      </c>
    </row>
    <row r="12" spans="1:16" x14ac:dyDescent="0.4">
      <c r="A12" s="34" t="s">
        <v>65</v>
      </c>
      <c r="B12" s="30">
        <v>23</v>
      </c>
      <c r="C12" s="33">
        <v>44817538891</v>
      </c>
      <c r="D12" s="36"/>
      <c r="E12" s="33">
        <v>49038338278</v>
      </c>
      <c r="F12" s="36"/>
      <c r="G12" s="5">
        <v>53813829604</v>
      </c>
      <c r="H12" s="31"/>
      <c r="I12" s="5">
        <v>61783148657</v>
      </c>
      <c r="J12" s="31"/>
      <c r="L12" s="28" t="s">
        <v>46</v>
      </c>
      <c r="M12" s="29">
        <f t="shared" si="0"/>
        <v>27255.369498</v>
      </c>
      <c r="N12" s="29">
        <f t="shared" si="0"/>
        <v>22712.705287000001</v>
      </c>
      <c r="O12" s="29">
        <f t="shared" si="0"/>
        <v>22867.230743</v>
      </c>
      <c r="P12" s="29">
        <f t="shared" ref="P12" si="2">P5/1000000</f>
        <v>50049.029912999998</v>
      </c>
    </row>
    <row r="13" spans="1:16" x14ac:dyDescent="0.4">
      <c r="A13" s="34" t="s">
        <v>66</v>
      </c>
      <c r="B13" s="30">
        <v>24</v>
      </c>
      <c r="C13" s="33">
        <v>1045263247</v>
      </c>
      <c r="D13" s="36"/>
      <c r="E13" s="33">
        <v>338558283</v>
      </c>
      <c r="F13" s="36"/>
      <c r="G13" s="5">
        <v>451434341</v>
      </c>
      <c r="H13" s="31"/>
      <c r="I13" s="5">
        <v>1650121815</v>
      </c>
      <c r="J13" s="31"/>
      <c r="L13" s="26" t="s">
        <v>47</v>
      </c>
      <c r="M13" s="27">
        <f t="shared" si="0"/>
        <v>19466.981534999999</v>
      </c>
      <c r="N13" s="27">
        <f t="shared" si="0"/>
        <v>19325.767712000001</v>
      </c>
      <c r="O13" s="27">
        <f t="shared" si="0"/>
        <v>17648.989053000001</v>
      </c>
      <c r="P13" s="27">
        <f t="shared" ref="P13" si="3">P6/1000000</f>
        <v>46222.786546000003</v>
      </c>
    </row>
    <row r="14" spans="1:16" x14ac:dyDescent="0.4">
      <c r="A14" s="58" t="s">
        <v>45</v>
      </c>
      <c r="B14" s="59"/>
      <c r="C14" s="60"/>
      <c r="D14" s="61">
        <v>27255369498</v>
      </c>
      <c r="E14" s="60"/>
      <c r="F14" s="61">
        <v>22712705287</v>
      </c>
      <c r="G14" s="62"/>
      <c r="H14" s="15">
        <v>22867230743</v>
      </c>
      <c r="I14" s="62"/>
      <c r="J14" s="15">
        <v>50049029913</v>
      </c>
    </row>
    <row r="15" spans="1:16" x14ac:dyDescent="0.4">
      <c r="A15" s="34" t="s">
        <v>67</v>
      </c>
      <c r="B15" s="30">
        <v>25</v>
      </c>
      <c r="C15" s="32"/>
      <c r="D15" s="35">
        <v>22261213</v>
      </c>
      <c r="E15" s="32"/>
      <c r="F15" s="35">
        <v>1592293956</v>
      </c>
      <c r="G15" s="31"/>
      <c r="H15" s="5">
        <v>8404082983</v>
      </c>
      <c r="I15" s="31"/>
      <c r="J15" s="5">
        <v>17614434136</v>
      </c>
    </row>
    <row r="16" spans="1:16" x14ac:dyDescent="0.4">
      <c r="A16" s="34" t="s">
        <v>68</v>
      </c>
      <c r="B16" s="30">
        <v>25</v>
      </c>
      <c r="C16" s="32"/>
      <c r="D16" s="35">
        <v>921524607</v>
      </c>
      <c r="E16" s="32"/>
      <c r="F16" s="35">
        <v>293828638</v>
      </c>
      <c r="G16" s="31"/>
      <c r="H16" s="5">
        <v>8816472342</v>
      </c>
      <c r="I16" s="31"/>
      <c r="J16" s="5">
        <v>7900557242</v>
      </c>
      <c r="L16" t="s">
        <v>52</v>
      </c>
      <c r="O16" s="22"/>
      <c r="P16" s="22" t="s">
        <v>53</v>
      </c>
    </row>
    <row r="17" spans="1:16" x14ac:dyDescent="0.4">
      <c r="A17" s="34" t="s">
        <v>15</v>
      </c>
      <c r="B17" s="30"/>
      <c r="C17" s="32"/>
      <c r="D17" s="35">
        <v>26356106104</v>
      </c>
      <c r="E17" s="32"/>
      <c r="F17" s="35">
        <v>24011170605</v>
      </c>
      <c r="G17" s="31"/>
      <c r="H17" s="5">
        <v>22454841384</v>
      </c>
      <c r="I17" s="31"/>
      <c r="J17" s="5">
        <v>59762906807</v>
      </c>
      <c r="L17" s="20" t="s">
        <v>49</v>
      </c>
      <c r="M17" s="21">
        <v>2022</v>
      </c>
      <c r="N17" s="21">
        <v>2023</v>
      </c>
      <c r="O17" s="21">
        <v>2024</v>
      </c>
      <c r="P17" s="21">
        <v>2025</v>
      </c>
    </row>
    <row r="18" spans="1:16" x14ac:dyDescent="0.4">
      <c r="A18" s="34" t="s">
        <v>69</v>
      </c>
      <c r="B18" s="30">
        <v>26</v>
      </c>
      <c r="C18" s="32"/>
      <c r="D18" s="35">
        <v>6889124569</v>
      </c>
      <c r="E18" s="32"/>
      <c r="F18" s="35">
        <v>4685402893</v>
      </c>
      <c r="G18" s="31"/>
      <c r="H18" s="5">
        <v>4805852331</v>
      </c>
      <c r="I18" s="31"/>
      <c r="J18" s="5">
        <v>13540120261</v>
      </c>
      <c r="L18" s="72" t="s">
        <v>233</v>
      </c>
      <c r="M18" s="73">
        <f t="shared" ref="M18:O20" si="4">M4/100000000</f>
        <v>806.24359061999996</v>
      </c>
      <c r="N18" s="73">
        <f t="shared" si="4"/>
        <v>793.68867734000003</v>
      </c>
      <c r="O18" s="73">
        <f t="shared" si="4"/>
        <v>849.54285588000005</v>
      </c>
      <c r="P18" s="73">
        <f t="shared" ref="P18" si="5">P4/100000000</f>
        <v>1216.5679823400001</v>
      </c>
    </row>
    <row r="19" spans="1:16" x14ac:dyDescent="0.4">
      <c r="A19" s="63" t="s">
        <v>70</v>
      </c>
      <c r="B19" s="64"/>
      <c r="C19" s="67"/>
      <c r="D19" s="68">
        <v>19466981535</v>
      </c>
      <c r="E19" s="67"/>
      <c r="F19" s="68">
        <v>19325767712</v>
      </c>
      <c r="G19" s="69"/>
      <c r="H19" s="25">
        <v>17648989053</v>
      </c>
      <c r="I19" s="69"/>
      <c r="J19" s="25">
        <v>46222786546</v>
      </c>
      <c r="L19" s="28" t="s">
        <v>46</v>
      </c>
      <c r="M19" s="29">
        <f t="shared" si="4"/>
        <v>272.55369497999999</v>
      </c>
      <c r="N19" s="29">
        <f t="shared" si="4"/>
        <v>227.12705287</v>
      </c>
      <c r="O19" s="29">
        <f t="shared" si="4"/>
        <v>228.67230742999999</v>
      </c>
      <c r="P19" s="29">
        <f t="shared" ref="P19" si="6">P5/100000000</f>
        <v>500.49029912999998</v>
      </c>
    </row>
    <row r="20" spans="1:16" x14ac:dyDescent="0.4">
      <c r="A20" s="34" t="s">
        <v>12</v>
      </c>
      <c r="B20" s="30"/>
      <c r="C20" s="32"/>
      <c r="D20" s="36" t="s">
        <v>71</v>
      </c>
      <c r="E20" s="32"/>
      <c r="F20" s="36" t="s">
        <v>71</v>
      </c>
      <c r="G20" s="31"/>
      <c r="H20" s="8" t="s">
        <v>71</v>
      </c>
      <c r="I20" s="31"/>
      <c r="J20" s="8" t="s">
        <v>71</v>
      </c>
      <c r="L20" s="26" t="s">
        <v>47</v>
      </c>
      <c r="M20" s="27">
        <f t="shared" si="4"/>
        <v>194.66981534999999</v>
      </c>
      <c r="N20" s="27">
        <f t="shared" si="4"/>
        <v>193.25767712000001</v>
      </c>
      <c r="O20" s="27">
        <f t="shared" si="4"/>
        <v>176.48989053</v>
      </c>
      <c r="P20" s="27">
        <f t="shared" ref="P20" si="7">P6/100000000</f>
        <v>462.22786545999998</v>
      </c>
    </row>
    <row r="21" spans="1:16" x14ac:dyDescent="0.4">
      <c r="A21" s="34" t="s">
        <v>72</v>
      </c>
      <c r="B21" s="30"/>
      <c r="C21" s="32"/>
      <c r="D21" s="35">
        <v>19466981535</v>
      </c>
      <c r="E21" s="32"/>
      <c r="F21" s="35">
        <v>19325767712</v>
      </c>
      <c r="G21" s="31"/>
      <c r="H21" s="5">
        <v>17648989053</v>
      </c>
      <c r="I21" s="31"/>
      <c r="J21" s="5">
        <v>46222786546</v>
      </c>
    </row>
    <row r="22" spans="1:16" x14ac:dyDescent="0.4">
      <c r="A22" s="37" t="s">
        <v>73</v>
      </c>
      <c r="B22" s="38">
        <v>19</v>
      </c>
      <c r="C22" s="40"/>
      <c r="D22" s="41">
        <v>1371</v>
      </c>
      <c r="E22" s="40"/>
      <c r="F22" s="41">
        <v>1361</v>
      </c>
      <c r="G22" s="39"/>
      <c r="H22" s="2">
        <v>1243</v>
      </c>
      <c r="I22" s="39"/>
      <c r="J22" s="2">
        <v>3254</v>
      </c>
      <c r="L22" s="50" t="s">
        <v>232</v>
      </c>
    </row>
    <row r="23" spans="1:16" x14ac:dyDescent="0.4">
      <c r="A23" s="42"/>
      <c r="C23" s="50"/>
      <c r="D23" s="50"/>
    </row>
    <row r="24" spans="1:16" x14ac:dyDescent="0.4">
      <c r="C24" s="50"/>
      <c r="D24" s="50"/>
    </row>
    <row r="25" spans="1:16" x14ac:dyDescent="0.4">
      <c r="C25" s="50"/>
      <c r="D25" s="50"/>
    </row>
    <row r="26" spans="1:16" x14ac:dyDescent="0.4">
      <c r="C26" s="50"/>
      <c r="D26" s="50"/>
    </row>
  </sheetData>
  <mergeCells count="8">
    <mergeCell ref="I2:J2"/>
    <mergeCell ref="I3:J3"/>
    <mergeCell ref="E2:F2"/>
    <mergeCell ref="G2:H2"/>
    <mergeCell ref="C3:D3"/>
    <mergeCell ref="C2:D2"/>
    <mergeCell ref="G3:H3"/>
    <mergeCell ref="E3:F3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38B65-96D1-4C46-B8BC-A96D5FEE74C9}">
  <dimension ref="A2:P63"/>
  <sheetViews>
    <sheetView zoomScale="70" zoomScaleNormal="70" workbookViewId="0">
      <selection activeCell="M1" sqref="M1"/>
    </sheetView>
  </sheetViews>
  <sheetFormatPr defaultRowHeight="17.399999999999999" x14ac:dyDescent="0.4"/>
  <cols>
    <col min="1" max="1" width="43.3984375" bestFit="1" customWidth="1"/>
    <col min="2" max="3" width="17.19921875" bestFit="1" customWidth="1"/>
    <col min="4" max="4" width="40.69921875" bestFit="1" customWidth="1"/>
    <col min="5" max="10" width="17.19921875" bestFit="1" customWidth="1"/>
    <col min="13" max="16" width="15.5" bestFit="1" customWidth="1"/>
  </cols>
  <sheetData>
    <row r="2" spans="1:16" x14ac:dyDescent="0.4">
      <c r="B2" s="127">
        <v>2022</v>
      </c>
      <c r="C2" s="127"/>
      <c r="E2" s="127">
        <v>2023</v>
      </c>
      <c r="F2" s="127"/>
      <c r="G2" s="127">
        <v>2024</v>
      </c>
      <c r="H2" s="127"/>
      <c r="I2" s="127">
        <v>2025</v>
      </c>
      <c r="J2" s="127"/>
      <c r="O2" s="22"/>
      <c r="P2" s="22" t="s">
        <v>50</v>
      </c>
    </row>
    <row r="3" spans="1:16" x14ac:dyDescent="0.4">
      <c r="A3" s="74" t="s">
        <v>54</v>
      </c>
      <c r="B3" s="128" t="s">
        <v>137</v>
      </c>
      <c r="C3" s="129"/>
      <c r="D3" s="74" t="s">
        <v>54</v>
      </c>
      <c r="E3" s="128" t="s">
        <v>76</v>
      </c>
      <c r="F3" s="129"/>
      <c r="G3" s="128" t="s">
        <v>75</v>
      </c>
      <c r="H3" s="130"/>
      <c r="I3" s="128" t="s">
        <v>418</v>
      </c>
      <c r="J3" s="130"/>
      <c r="L3" s="20" t="s">
        <v>49</v>
      </c>
      <c r="M3" s="21">
        <v>2022</v>
      </c>
      <c r="N3" s="21">
        <v>2023</v>
      </c>
      <c r="O3" s="21">
        <v>2024</v>
      </c>
      <c r="P3" s="21">
        <v>2025</v>
      </c>
    </row>
    <row r="4" spans="1:16" x14ac:dyDescent="0.4">
      <c r="A4" s="81" t="s">
        <v>77</v>
      </c>
      <c r="B4" s="82"/>
      <c r="C4" s="83">
        <v>171813414397</v>
      </c>
      <c r="D4" s="81" t="s">
        <v>77</v>
      </c>
      <c r="E4" s="82"/>
      <c r="F4" s="83">
        <v>199614627616</v>
      </c>
      <c r="G4" s="82"/>
      <c r="H4" s="84">
        <v>174076555068</v>
      </c>
      <c r="I4" s="82"/>
      <c r="J4" s="84">
        <v>156512893610</v>
      </c>
      <c r="L4" s="72" t="s">
        <v>231</v>
      </c>
      <c r="M4" s="73">
        <f>C48+B40+B35+B45</f>
        <v>99866895037</v>
      </c>
      <c r="N4" s="73">
        <f>F49+E42+E37-E26</f>
        <v>73763656287</v>
      </c>
      <c r="O4" s="73">
        <f>H49+G42+G37-G26</f>
        <v>80251967564</v>
      </c>
      <c r="P4" s="73">
        <f>J49+I42+I37-I26</f>
        <v>84411385657</v>
      </c>
    </row>
    <row r="5" spans="1:16" x14ac:dyDescent="0.4">
      <c r="A5" s="34" t="s">
        <v>138</v>
      </c>
      <c r="B5" s="33">
        <v>152478449892</v>
      </c>
      <c r="C5" s="36"/>
      <c r="D5" s="34" t="s">
        <v>78</v>
      </c>
      <c r="E5" s="33">
        <v>181112888270</v>
      </c>
      <c r="F5" s="36"/>
      <c r="G5" s="33">
        <v>153531997479</v>
      </c>
      <c r="H5" s="32"/>
      <c r="I5" s="33"/>
      <c r="J5" s="32"/>
      <c r="L5" s="28" t="s">
        <v>46</v>
      </c>
      <c r="M5" s="29">
        <f>+C48</f>
        <v>45606719545</v>
      </c>
      <c r="N5" s="29">
        <f>+F49</f>
        <v>2525654435</v>
      </c>
      <c r="O5" s="29">
        <f>+H49</f>
        <v>4831371254</v>
      </c>
      <c r="P5" s="29">
        <f>+J49</f>
        <v>5273028827</v>
      </c>
    </row>
    <row r="6" spans="1:16" x14ac:dyDescent="0.4">
      <c r="A6" s="34" t="s">
        <v>79</v>
      </c>
      <c r="B6" s="33">
        <v>6907092877</v>
      </c>
      <c r="C6" s="36"/>
      <c r="D6" s="34" t="s">
        <v>79</v>
      </c>
      <c r="E6" s="33">
        <v>16329843150</v>
      </c>
      <c r="F6" s="36"/>
      <c r="G6" s="33">
        <v>10743683981</v>
      </c>
      <c r="H6" s="32"/>
      <c r="I6" s="33"/>
      <c r="J6" s="32"/>
      <c r="L6" s="26" t="s">
        <v>47</v>
      </c>
      <c r="M6" s="27">
        <f>+C62</f>
        <v>35263625567</v>
      </c>
      <c r="N6" s="27">
        <f>+F63</f>
        <v>2986363323</v>
      </c>
      <c r="O6" s="27">
        <f>+H63</f>
        <v>3900853084</v>
      </c>
      <c r="P6" s="27">
        <f>+J63</f>
        <v>3406591396</v>
      </c>
    </row>
    <row r="7" spans="1:16" x14ac:dyDescent="0.4">
      <c r="A7" s="34" t="s">
        <v>139</v>
      </c>
      <c r="B7" s="33">
        <v>636686396</v>
      </c>
      <c r="C7" s="36"/>
      <c r="D7" s="34" t="s">
        <v>80</v>
      </c>
      <c r="E7" s="32" t="s">
        <v>71</v>
      </c>
      <c r="F7" s="36"/>
      <c r="G7" s="33">
        <v>374863</v>
      </c>
      <c r="H7" s="32"/>
      <c r="I7" s="33"/>
      <c r="J7" s="32"/>
    </row>
    <row r="8" spans="1:16" x14ac:dyDescent="0.4">
      <c r="A8" s="34" t="s">
        <v>140</v>
      </c>
      <c r="B8" s="33">
        <v>144756315461</v>
      </c>
      <c r="C8" s="36"/>
      <c r="D8" s="34" t="s">
        <v>81</v>
      </c>
      <c r="E8" s="33">
        <v>1079714241</v>
      </c>
      <c r="F8" s="36"/>
      <c r="G8" s="33">
        <v>655809328</v>
      </c>
      <c r="H8" s="32"/>
      <c r="I8" s="33"/>
      <c r="J8" s="32"/>
    </row>
    <row r="9" spans="1:16" x14ac:dyDescent="0.4">
      <c r="A9" s="34" t="s">
        <v>141</v>
      </c>
      <c r="B9" s="33">
        <v>178355158</v>
      </c>
      <c r="C9" s="36"/>
      <c r="D9" s="34" t="s">
        <v>82</v>
      </c>
      <c r="E9" s="33">
        <v>163523889653</v>
      </c>
      <c r="F9" s="36"/>
      <c r="G9" s="33">
        <v>141986154336</v>
      </c>
      <c r="H9" s="32"/>
      <c r="I9" s="33"/>
      <c r="J9" s="32"/>
      <c r="L9" t="s">
        <v>48</v>
      </c>
      <c r="O9" s="22"/>
      <c r="P9" s="22" t="s">
        <v>51</v>
      </c>
    </row>
    <row r="10" spans="1:16" x14ac:dyDescent="0.4">
      <c r="A10" s="34" t="s">
        <v>84</v>
      </c>
      <c r="B10" s="33">
        <v>250157223</v>
      </c>
      <c r="C10" s="36"/>
      <c r="D10" s="34" t="s">
        <v>83</v>
      </c>
      <c r="E10" s="33">
        <v>179441226</v>
      </c>
      <c r="F10" s="36"/>
      <c r="G10" s="33">
        <v>145974971</v>
      </c>
      <c r="H10" s="32"/>
      <c r="I10" s="33"/>
      <c r="J10" s="32"/>
      <c r="L10" s="20" t="s">
        <v>49</v>
      </c>
      <c r="M10" s="21">
        <v>2022</v>
      </c>
      <c r="N10" s="21">
        <v>2023</v>
      </c>
      <c r="O10" s="21">
        <v>2024</v>
      </c>
      <c r="P10" s="21">
        <v>2025</v>
      </c>
    </row>
    <row r="11" spans="1:16" x14ac:dyDescent="0.4">
      <c r="A11" s="34" t="s">
        <v>85</v>
      </c>
      <c r="B11" s="32" t="s">
        <v>71</v>
      </c>
      <c r="C11" s="36"/>
      <c r="D11" s="34" t="s">
        <v>84</v>
      </c>
      <c r="E11" s="33">
        <v>5665856744</v>
      </c>
      <c r="F11" s="36"/>
      <c r="G11" s="33">
        <v>3450495288</v>
      </c>
      <c r="H11" s="32"/>
      <c r="I11" s="33"/>
      <c r="J11" s="32"/>
      <c r="L11" s="72" t="s">
        <v>231</v>
      </c>
      <c r="M11" s="73">
        <f t="shared" ref="M11:O13" si="0">M4/1000000</f>
        <v>99866.895036999995</v>
      </c>
      <c r="N11" s="73">
        <f t="shared" si="0"/>
        <v>73763.656287000005</v>
      </c>
      <c r="O11" s="73">
        <f t="shared" si="0"/>
        <v>80251.967564000006</v>
      </c>
      <c r="P11" s="73">
        <f t="shared" ref="P11" si="1">P4/1000000</f>
        <v>84411.385657000006</v>
      </c>
    </row>
    <row r="12" spans="1:16" x14ac:dyDescent="0.4">
      <c r="A12" s="34" t="s">
        <v>86</v>
      </c>
      <c r="B12" s="33">
        <v>56060000</v>
      </c>
      <c r="C12" s="36"/>
      <c r="D12" s="34" t="s">
        <v>85</v>
      </c>
      <c r="E12" s="33">
        <v>2688832300</v>
      </c>
      <c r="F12" s="36"/>
      <c r="G12" s="33">
        <v>16510904</v>
      </c>
      <c r="H12" s="32"/>
      <c r="I12" s="33"/>
      <c r="J12" s="32"/>
      <c r="L12" s="28" t="s">
        <v>46</v>
      </c>
      <c r="M12" s="29">
        <f t="shared" si="0"/>
        <v>45606.719545</v>
      </c>
      <c r="N12" s="29">
        <f t="shared" si="0"/>
        <v>2525.6544349999999</v>
      </c>
      <c r="O12" s="29">
        <f t="shared" si="0"/>
        <v>4831.3712539999997</v>
      </c>
      <c r="P12" s="29">
        <f t="shared" ref="P12" si="2">P5/1000000</f>
        <v>5273.0288270000001</v>
      </c>
    </row>
    <row r="13" spans="1:16" x14ac:dyDescent="0.4">
      <c r="A13" s="34" t="s">
        <v>87</v>
      </c>
      <c r="B13" s="33">
        <v>194097223</v>
      </c>
      <c r="C13" s="36"/>
      <c r="D13" s="34" t="s">
        <v>86</v>
      </c>
      <c r="E13" s="33">
        <v>1854284690</v>
      </c>
      <c r="F13" s="36"/>
      <c r="G13" s="33">
        <v>2527336955</v>
      </c>
      <c r="H13" s="32"/>
      <c r="I13" s="33"/>
      <c r="J13" s="32"/>
      <c r="L13" s="26" t="s">
        <v>47</v>
      </c>
      <c r="M13" s="27">
        <f t="shared" si="0"/>
        <v>35263.625567000003</v>
      </c>
      <c r="N13" s="27">
        <f t="shared" si="0"/>
        <v>2986.363323</v>
      </c>
      <c r="O13" s="27">
        <f t="shared" si="0"/>
        <v>3900.8530839999999</v>
      </c>
      <c r="P13" s="27">
        <f t="shared" ref="P13" si="3">P6/1000000</f>
        <v>3406.5913959999998</v>
      </c>
    </row>
    <row r="14" spans="1:16" x14ac:dyDescent="0.4">
      <c r="A14" s="34" t="s">
        <v>142</v>
      </c>
      <c r="B14" s="33">
        <v>1131558234</v>
      </c>
      <c r="C14" s="36"/>
      <c r="D14" s="34" t="s">
        <v>87</v>
      </c>
      <c r="E14" s="33">
        <v>1122739754</v>
      </c>
      <c r="F14" s="36"/>
      <c r="G14" s="33">
        <v>906647429</v>
      </c>
      <c r="H14" s="32"/>
      <c r="I14" s="33"/>
      <c r="J14" s="32"/>
    </row>
    <row r="15" spans="1:16" x14ac:dyDescent="0.4">
      <c r="A15" s="34" t="s">
        <v>143</v>
      </c>
      <c r="B15" s="33">
        <v>1131558234</v>
      </c>
      <c r="C15" s="36"/>
      <c r="D15" s="34" t="s">
        <v>88</v>
      </c>
      <c r="E15" s="33">
        <v>4940869726</v>
      </c>
      <c r="F15" s="36"/>
      <c r="G15" s="33">
        <v>7799998502</v>
      </c>
      <c r="H15" s="32"/>
      <c r="I15" s="33"/>
      <c r="J15" s="32"/>
    </row>
    <row r="16" spans="1:16" x14ac:dyDescent="0.4">
      <c r="A16" s="34" t="s">
        <v>90</v>
      </c>
      <c r="B16" s="33">
        <v>9408197393</v>
      </c>
      <c r="C16" s="36"/>
      <c r="D16" s="34" t="s">
        <v>89</v>
      </c>
      <c r="E16" s="33">
        <v>4940869726</v>
      </c>
      <c r="F16" s="36"/>
      <c r="G16" s="33">
        <v>7799998502</v>
      </c>
      <c r="H16" s="32"/>
      <c r="I16" s="33"/>
      <c r="J16" s="32"/>
      <c r="L16" t="s">
        <v>52</v>
      </c>
      <c r="O16" s="22"/>
      <c r="P16" s="22" t="s">
        <v>53</v>
      </c>
    </row>
    <row r="17" spans="1:16" x14ac:dyDescent="0.4">
      <c r="A17" s="34" t="s">
        <v>91</v>
      </c>
      <c r="B17" s="33">
        <v>55096600</v>
      </c>
      <c r="C17" s="36"/>
      <c r="D17" s="34" t="s">
        <v>90</v>
      </c>
      <c r="E17" s="33">
        <v>4273703646</v>
      </c>
      <c r="F17" s="36"/>
      <c r="G17" s="33">
        <v>4433905132</v>
      </c>
      <c r="H17" s="32"/>
      <c r="I17" s="33"/>
      <c r="J17" s="32"/>
      <c r="L17" s="20" t="s">
        <v>49</v>
      </c>
      <c r="M17" s="21">
        <v>2022</v>
      </c>
      <c r="N17" s="21">
        <v>2023</v>
      </c>
      <c r="O17" s="21">
        <v>2024</v>
      </c>
      <c r="P17" s="21">
        <v>2025</v>
      </c>
    </row>
    <row r="18" spans="1:16" x14ac:dyDescent="0.4">
      <c r="A18" s="34" t="s">
        <v>92</v>
      </c>
      <c r="B18" s="33">
        <v>3184702420</v>
      </c>
      <c r="C18" s="36"/>
      <c r="D18" s="34" t="s">
        <v>91</v>
      </c>
      <c r="E18" s="33">
        <v>51044200</v>
      </c>
      <c r="F18" s="36"/>
      <c r="G18" s="33">
        <v>42557800</v>
      </c>
      <c r="H18" s="32"/>
      <c r="I18" s="33"/>
      <c r="J18" s="32"/>
      <c r="L18" s="72" t="s">
        <v>231</v>
      </c>
      <c r="M18" s="73">
        <f t="shared" ref="M18:O20" si="4">M4/100000000</f>
        <v>998.66895036999995</v>
      </c>
      <c r="N18" s="73">
        <f t="shared" si="4"/>
        <v>737.63656287000003</v>
      </c>
      <c r="O18" s="73">
        <f t="shared" si="4"/>
        <v>802.51967563999995</v>
      </c>
      <c r="P18" s="73">
        <f t="shared" ref="P18" si="5">P4/100000000</f>
        <v>844.11385657000005</v>
      </c>
    </row>
    <row r="19" spans="1:16" x14ac:dyDescent="0.4">
      <c r="A19" s="34" t="s">
        <v>93</v>
      </c>
      <c r="B19" s="33">
        <v>900000</v>
      </c>
      <c r="C19" s="36"/>
      <c r="D19" s="34" t="s">
        <v>92</v>
      </c>
      <c r="E19" s="33">
        <v>2399341194</v>
      </c>
      <c r="F19" s="36"/>
      <c r="G19" s="33">
        <v>2308986610</v>
      </c>
      <c r="H19" s="32"/>
      <c r="I19" s="33"/>
      <c r="J19" s="32"/>
      <c r="L19" s="28" t="s">
        <v>46</v>
      </c>
      <c r="M19" s="29">
        <f t="shared" si="4"/>
        <v>456.06719544999999</v>
      </c>
      <c r="N19" s="29">
        <f t="shared" si="4"/>
        <v>25.256544349999999</v>
      </c>
      <c r="O19" s="29">
        <f t="shared" si="4"/>
        <v>48.313712539999997</v>
      </c>
      <c r="P19" s="29">
        <f t="shared" ref="P19" si="6">P5/100000000</f>
        <v>52.730288270000003</v>
      </c>
    </row>
    <row r="20" spans="1:16" x14ac:dyDescent="0.4">
      <c r="A20" s="34" t="s">
        <v>94</v>
      </c>
      <c r="B20" s="33">
        <v>6167498373</v>
      </c>
      <c r="C20" s="36"/>
      <c r="D20" s="34" t="s">
        <v>93</v>
      </c>
      <c r="E20" s="33">
        <v>100000</v>
      </c>
      <c r="F20" s="36"/>
      <c r="G20" s="32" t="s">
        <v>71</v>
      </c>
      <c r="H20" s="32"/>
      <c r="I20" s="32"/>
      <c r="J20" s="32"/>
      <c r="L20" s="26" t="s">
        <v>47</v>
      </c>
      <c r="M20" s="27">
        <f t="shared" si="4"/>
        <v>352.63625567000003</v>
      </c>
      <c r="N20" s="27">
        <f t="shared" si="4"/>
        <v>29.863633230000001</v>
      </c>
      <c r="O20" s="27">
        <f t="shared" si="4"/>
        <v>39.008530839999999</v>
      </c>
      <c r="P20" s="27">
        <f t="shared" ref="P20" si="7">P6/100000000</f>
        <v>34.065913960000003</v>
      </c>
    </row>
    <row r="21" spans="1:16" x14ac:dyDescent="0.4">
      <c r="A21" s="34" t="s">
        <v>95</v>
      </c>
      <c r="B21" s="33">
        <v>8545051655</v>
      </c>
      <c r="C21" s="36"/>
      <c r="D21" s="34" t="s">
        <v>94</v>
      </c>
      <c r="E21" s="33">
        <v>1823218252</v>
      </c>
      <c r="F21" s="36"/>
      <c r="G21" s="33">
        <v>2082360722</v>
      </c>
      <c r="H21" s="32"/>
      <c r="I21" s="33"/>
      <c r="J21" s="32"/>
    </row>
    <row r="22" spans="1:16" x14ac:dyDescent="0.4">
      <c r="A22" s="34" t="s">
        <v>144</v>
      </c>
      <c r="B22" s="33">
        <v>828463500</v>
      </c>
      <c r="C22" s="36"/>
      <c r="D22" s="34" t="s">
        <v>95</v>
      </c>
      <c r="E22" s="33">
        <v>2984022310</v>
      </c>
      <c r="F22" s="36"/>
      <c r="G22" s="33">
        <v>4068798299</v>
      </c>
      <c r="H22" s="32"/>
      <c r="I22" s="33"/>
      <c r="J22" s="32"/>
      <c r="L22" s="50" t="s">
        <v>230</v>
      </c>
    </row>
    <row r="23" spans="1:16" x14ac:dyDescent="0.4">
      <c r="A23" s="34" t="s">
        <v>97</v>
      </c>
      <c r="B23" s="33">
        <v>7716588155</v>
      </c>
      <c r="C23" s="36"/>
      <c r="D23" s="34" t="s">
        <v>96</v>
      </c>
      <c r="E23" s="33">
        <v>722719250</v>
      </c>
      <c r="F23" s="36"/>
      <c r="G23" s="33">
        <v>371776450</v>
      </c>
      <c r="H23" s="32"/>
      <c r="I23" s="33"/>
      <c r="J23" s="32"/>
    </row>
    <row r="24" spans="1:16" x14ac:dyDescent="0.4">
      <c r="A24" s="34" t="s">
        <v>98</v>
      </c>
      <c r="B24" s="32" t="s">
        <v>71</v>
      </c>
      <c r="C24" s="36"/>
      <c r="D24" s="34" t="s">
        <v>97</v>
      </c>
      <c r="E24" s="33">
        <v>2261303060</v>
      </c>
      <c r="F24" s="36"/>
      <c r="G24" s="33">
        <v>3697021849</v>
      </c>
      <c r="H24" s="32"/>
      <c r="I24" s="33"/>
      <c r="J24" s="32"/>
    </row>
    <row r="25" spans="1:16" x14ac:dyDescent="0.4">
      <c r="A25" s="51" t="s">
        <v>145</v>
      </c>
      <c r="B25" s="55" t="s">
        <v>71</v>
      </c>
      <c r="C25" s="71"/>
      <c r="D25" s="81" t="s">
        <v>98</v>
      </c>
      <c r="E25" s="84">
        <v>637286920</v>
      </c>
      <c r="F25" s="85"/>
      <c r="G25" s="84">
        <v>791360368</v>
      </c>
      <c r="H25" s="82"/>
      <c r="I25" s="84">
        <v>119305396</v>
      </c>
      <c r="J25" s="82"/>
    </row>
    <row r="26" spans="1:16" x14ac:dyDescent="0.4">
      <c r="A26" s="34" t="s">
        <v>101</v>
      </c>
      <c r="B26" s="32"/>
      <c r="C26" s="35">
        <v>126206694852</v>
      </c>
      <c r="D26" s="51" t="s">
        <v>99</v>
      </c>
      <c r="E26" s="76">
        <v>637286920</v>
      </c>
      <c r="F26" s="71"/>
      <c r="G26" s="76">
        <v>754445111</v>
      </c>
      <c r="H26" s="55"/>
      <c r="I26" s="76">
        <v>102249158</v>
      </c>
      <c r="J26" s="55"/>
    </row>
    <row r="27" spans="1:16" x14ac:dyDescent="0.4">
      <c r="A27" s="34" t="s">
        <v>146</v>
      </c>
      <c r="B27" s="33">
        <v>54152600781</v>
      </c>
      <c r="C27" s="36"/>
      <c r="D27" s="81" t="s">
        <v>100</v>
      </c>
      <c r="E27" s="82" t="s">
        <v>71</v>
      </c>
      <c r="F27" s="85"/>
      <c r="G27" s="84">
        <v>36915257</v>
      </c>
      <c r="H27" s="82"/>
      <c r="I27" s="84"/>
      <c r="J27" s="82"/>
    </row>
    <row r="28" spans="1:16" x14ac:dyDescent="0.4">
      <c r="A28" s="34" t="s">
        <v>103</v>
      </c>
      <c r="B28" s="33">
        <v>54007801293</v>
      </c>
      <c r="C28" s="36"/>
      <c r="D28" s="81" t="s">
        <v>101</v>
      </c>
      <c r="E28" s="82"/>
      <c r="F28" s="83">
        <v>197088973181</v>
      </c>
      <c r="G28" s="82"/>
      <c r="H28" s="84">
        <v>169245183814</v>
      </c>
      <c r="I28" s="82"/>
      <c r="J28" s="84"/>
    </row>
    <row r="29" spans="1:16" x14ac:dyDescent="0.4">
      <c r="A29" s="34" t="s">
        <v>104</v>
      </c>
      <c r="B29" s="33">
        <v>144799488</v>
      </c>
      <c r="C29" s="36"/>
      <c r="D29" s="81" t="s">
        <v>102</v>
      </c>
      <c r="E29" s="84">
        <v>107482251854</v>
      </c>
      <c r="F29" s="85"/>
      <c r="G29" s="84">
        <v>75657189826</v>
      </c>
      <c r="H29" s="82"/>
      <c r="I29" s="84"/>
      <c r="J29" s="82"/>
    </row>
    <row r="30" spans="1:16" x14ac:dyDescent="0.4">
      <c r="A30" s="34" t="s">
        <v>105</v>
      </c>
      <c r="B30" s="33">
        <v>6339352288</v>
      </c>
      <c r="C30" s="36"/>
      <c r="D30" s="81" t="s">
        <v>103</v>
      </c>
      <c r="E30" s="84">
        <v>107317179058</v>
      </c>
      <c r="F30" s="85"/>
      <c r="G30" s="84">
        <v>75533267256</v>
      </c>
      <c r="H30" s="82"/>
      <c r="I30" s="84"/>
      <c r="J30" s="82"/>
    </row>
    <row r="31" spans="1:16" x14ac:dyDescent="0.4">
      <c r="A31" s="34" t="s">
        <v>147</v>
      </c>
      <c r="B31" s="33">
        <v>6139619070</v>
      </c>
      <c r="C31" s="36"/>
      <c r="D31" s="81" t="s">
        <v>104</v>
      </c>
      <c r="E31" s="84">
        <v>165072796</v>
      </c>
      <c r="F31" s="85"/>
      <c r="G31" s="84">
        <v>123922570</v>
      </c>
      <c r="H31" s="82"/>
      <c r="I31" s="84"/>
      <c r="J31" s="82"/>
    </row>
    <row r="32" spans="1:16" x14ac:dyDescent="0.4">
      <c r="A32" s="34" t="s">
        <v>148</v>
      </c>
      <c r="B32" s="33">
        <v>24288000</v>
      </c>
      <c r="C32" s="36"/>
      <c r="D32" s="81" t="s">
        <v>105</v>
      </c>
      <c r="E32" s="84">
        <v>1225967</v>
      </c>
      <c r="F32" s="85"/>
      <c r="G32" s="84">
        <v>1829625958</v>
      </c>
      <c r="H32" s="82"/>
      <c r="I32" s="84"/>
      <c r="J32" s="82"/>
    </row>
    <row r="33" spans="1:10" x14ac:dyDescent="0.4">
      <c r="A33" s="34" t="s">
        <v>149</v>
      </c>
      <c r="B33" s="33">
        <v>175445218</v>
      </c>
      <c r="C33" s="36"/>
      <c r="D33" s="81" t="s">
        <v>106</v>
      </c>
      <c r="E33" s="84">
        <v>932104</v>
      </c>
      <c r="F33" s="85"/>
      <c r="G33" s="84">
        <v>4224200</v>
      </c>
      <c r="H33" s="82"/>
      <c r="I33" s="84"/>
      <c r="J33" s="82"/>
    </row>
    <row r="34" spans="1:10" x14ac:dyDescent="0.4">
      <c r="A34" s="34" t="s">
        <v>150</v>
      </c>
      <c r="B34" s="33">
        <v>26566899474</v>
      </c>
      <c r="C34" s="36"/>
      <c r="D34" s="81" t="s">
        <v>107</v>
      </c>
      <c r="E34" s="84">
        <v>293863</v>
      </c>
      <c r="F34" s="85"/>
      <c r="G34" s="84">
        <v>597758</v>
      </c>
      <c r="H34" s="82"/>
      <c r="I34" s="84"/>
      <c r="J34" s="82"/>
    </row>
    <row r="35" spans="1:10" x14ac:dyDescent="0.4">
      <c r="A35" s="51" t="s">
        <v>151</v>
      </c>
      <c r="B35" s="76">
        <v>26529020203</v>
      </c>
      <c r="C35" s="71"/>
      <c r="D35" s="81" t="s">
        <v>108</v>
      </c>
      <c r="E35" s="82" t="s">
        <v>71</v>
      </c>
      <c r="F35" s="85"/>
      <c r="G35" s="84">
        <v>1824804000</v>
      </c>
      <c r="H35" s="82"/>
      <c r="I35" s="84"/>
      <c r="J35" s="82"/>
    </row>
    <row r="36" spans="1:10" x14ac:dyDescent="0.4">
      <c r="A36" s="34" t="s">
        <v>152</v>
      </c>
      <c r="B36" s="33">
        <v>37879271</v>
      </c>
      <c r="C36" s="36"/>
      <c r="D36" s="81" t="s">
        <v>109</v>
      </c>
      <c r="E36" s="84">
        <v>51428018896</v>
      </c>
      <c r="F36" s="85"/>
      <c r="G36" s="84">
        <v>53631461335</v>
      </c>
      <c r="H36" s="82"/>
      <c r="I36" s="84"/>
      <c r="J36" s="82"/>
    </row>
    <row r="37" spans="1:10" x14ac:dyDescent="0.4">
      <c r="A37" s="34" t="s">
        <v>112</v>
      </c>
      <c r="B37" s="33">
        <v>2702329222</v>
      </c>
      <c r="C37" s="36"/>
      <c r="D37" s="51" t="s">
        <v>110</v>
      </c>
      <c r="E37" s="76">
        <v>46803189306</v>
      </c>
      <c r="F37" s="71"/>
      <c r="G37" s="76">
        <v>50428944312</v>
      </c>
      <c r="H37" s="55"/>
      <c r="I37" s="76">
        <v>51708243345</v>
      </c>
      <c r="J37" s="55"/>
    </row>
    <row r="38" spans="1:10" x14ac:dyDescent="0.4">
      <c r="A38" s="34" t="s">
        <v>113</v>
      </c>
      <c r="B38" s="33">
        <v>34973700</v>
      </c>
      <c r="C38" s="36"/>
      <c r="D38" s="81" t="s">
        <v>111</v>
      </c>
      <c r="E38" s="84">
        <v>4624829590</v>
      </c>
      <c r="F38" s="85"/>
      <c r="G38" s="84">
        <v>3202517023</v>
      </c>
      <c r="H38" s="82"/>
      <c r="I38" s="84"/>
      <c r="J38" s="82"/>
    </row>
    <row r="39" spans="1:10" x14ac:dyDescent="0.4">
      <c r="A39" s="34" t="s">
        <v>114</v>
      </c>
      <c r="B39" s="33">
        <v>2667355522</v>
      </c>
      <c r="C39" s="36"/>
      <c r="D39" s="81" t="s">
        <v>112</v>
      </c>
      <c r="E39" s="84">
        <v>2345175588</v>
      </c>
      <c r="F39" s="85"/>
      <c r="G39" s="84">
        <v>2416560471</v>
      </c>
      <c r="H39" s="82"/>
      <c r="I39" s="84"/>
      <c r="J39" s="82"/>
    </row>
    <row r="40" spans="1:10" x14ac:dyDescent="0.4">
      <c r="A40" s="51" t="s">
        <v>153</v>
      </c>
      <c r="B40" s="76">
        <v>25830947641</v>
      </c>
      <c r="C40" s="71"/>
      <c r="D40" s="81" t="s">
        <v>113</v>
      </c>
      <c r="E40" s="84">
        <v>19702600</v>
      </c>
      <c r="F40" s="85"/>
      <c r="G40" s="84">
        <v>175500</v>
      </c>
      <c r="H40" s="82"/>
      <c r="I40" s="84"/>
      <c r="J40" s="82"/>
    </row>
    <row r="41" spans="1:10" x14ac:dyDescent="0.4">
      <c r="A41" s="34" t="s">
        <v>116</v>
      </c>
      <c r="B41" s="33">
        <v>12295002317</v>
      </c>
      <c r="C41" s="36"/>
      <c r="D41" s="81" t="s">
        <v>114</v>
      </c>
      <c r="E41" s="84">
        <v>2325472988</v>
      </c>
      <c r="F41" s="85"/>
      <c r="G41" s="84">
        <v>2416384971</v>
      </c>
      <c r="H41" s="82"/>
      <c r="I41" s="84"/>
      <c r="J41" s="82"/>
    </row>
    <row r="42" spans="1:10" x14ac:dyDescent="0.4">
      <c r="A42" s="34" t="s">
        <v>117</v>
      </c>
      <c r="B42" s="33">
        <v>13535945324</v>
      </c>
      <c r="C42" s="36"/>
      <c r="D42" s="51" t="s">
        <v>115</v>
      </c>
      <c r="E42" s="76">
        <v>25072099466</v>
      </c>
      <c r="F42" s="71"/>
      <c r="G42" s="76">
        <v>25746097109</v>
      </c>
      <c r="H42" s="55"/>
      <c r="I42" s="76">
        <v>27532362643</v>
      </c>
      <c r="J42" s="55"/>
    </row>
    <row r="43" spans="1:10" x14ac:dyDescent="0.4">
      <c r="A43" s="34" t="s">
        <v>118</v>
      </c>
      <c r="B43" s="33">
        <v>10614565446</v>
      </c>
      <c r="C43" s="36"/>
      <c r="D43" s="81" t="s">
        <v>116</v>
      </c>
      <c r="E43" s="84">
        <v>10333565349</v>
      </c>
      <c r="F43" s="85"/>
      <c r="G43" s="84">
        <v>11333581581</v>
      </c>
      <c r="H43" s="82"/>
      <c r="I43" s="84"/>
      <c r="J43" s="82"/>
    </row>
    <row r="44" spans="1:10" x14ac:dyDescent="0.4">
      <c r="A44" s="34" t="s">
        <v>119</v>
      </c>
      <c r="B44" s="33">
        <v>8689442072</v>
      </c>
      <c r="C44" s="36"/>
      <c r="D44" s="81" t="s">
        <v>117</v>
      </c>
      <c r="E44" s="84">
        <v>14738534117</v>
      </c>
      <c r="F44" s="85"/>
      <c r="G44" s="84">
        <v>14412515528</v>
      </c>
      <c r="H44" s="82"/>
      <c r="I44" s="84"/>
      <c r="J44" s="82"/>
    </row>
    <row r="45" spans="1:10" x14ac:dyDescent="0.4">
      <c r="A45" s="51" t="s">
        <v>154</v>
      </c>
      <c r="B45" s="76">
        <v>1900207648</v>
      </c>
      <c r="C45" s="71"/>
      <c r="D45" s="81" t="s">
        <v>118</v>
      </c>
      <c r="E45" s="84">
        <v>10760201410</v>
      </c>
      <c r="F45" s="85"/>
      <c r="G45" s="84">
        <v>9964249115</v>
      </c>
      <c r="H45" s="82"/>
      <c r="I45" s="84"/>
      <c r="J45" s="82"/>
    </row>
    <row r="46" spans="1:10" x14ac:dyDescent="0.4">
      <c r="A46" s="34" t="s">
        <v>155</v>
      </c>
      <c r="B46" s="33">
        <v>1256139</v>
      </c>
      <c r="C46" s="36"/>
      <c r="D46" s="81" t="s">
        <v>119</v>
      </c>
      <c r="E46" s="84">
        <v>10674796264</v>
      </c>
      <c r="F46" s="85"/>
      <c r="G46" s="84">
        <v>9960792500</v>
      </c>
      <c r="H46" s="82"/>
      <c r="I46" s="84"/>
      <c r="J46" s="82"/>
    </row>
    <row r="47" spans="1:10" x14ac:dyDescent="0.4">
      <c r="A47" s="34" t="s">
        <v>156</v>
      </c>
      <c r="B47" s="33">
        <v>23659587</v>
      </c>
      <c r="C47" s="36"/>
      <c r="D47" s="81" t="s">
        <v>120</v>
      </c>
      <c r="E47" s="84">
        <v>16192220</v>
      </c>
      <c r="F47" s="85"/>
      <c r="G47" s="84">
        <v>3083758</v>
      </c>
      <c r="H47" s="82"/>
      <c r="I47" s="84"/>
      <c r="J47" s="82"/>
    </row>
    <row r="48" spans="1:10" x14ac:dyDescent="0.4">
      <c r="A48" s="58" t="s">
        <v>122</v>
      </c>
      <c r="B48" s="60"/>
      <c r="C48" s="61">
        <v>45606719545</v>
      </c>
      <c r="D48" s="81" t="s">
        <v>121</v>
      </c>
      <c r="E48" s="84">
        <v>69212926</v>
      </c>
      <c r="F48" s="85"/>
      <c r="G48" s="84">
        <v>372857</v>
      </c>
      <c r="H48" s="82"/>
      <c r="I48" s="84"/>
      <c r="J48" s="82"/>
    </row>
    <row r="49" spans="1:10" x14ac:dyDescent="0.4">
      <c r="A49" s="34" t="s">
        <v>123</v>
      </c>
      <c r="B49" s="32"/>
      <c r="C49" s="35">
        <v>431509154</v>
      </c>
      <c r="D49" s="58" t="s">
        <v>122</v>
      </c>
      <c r="E49" s="60"/>
      <c r="F49" s="61">
        <v>2525654435</v>
      </c>
      <c r="G49" s="60"/>
      <c r="H49" s="75">
        <v>4831371254</v>
      </c>
      <c r="I49" s="60"/>
      <c r="J49" s="75">
        <v>5273028827</v>
      </c>
    </row>
    <row r="50" spans="1:10" x14ac:dyDescent="0.4">
      <c r="A50" s="34" t="s">
        <v>124</v>
      </c>
      <c r="B50" s="33">
        <v>225000</v>
      </c>
      <c r="C50" s="36"/>
      <c r="D50" s="34" t="s">
        <v>123</v>
      </c>
      <c r="E50" s="32"/>
      <c r="F50" s="35">
        <v>267473360</v>
      </c>
      <c r="G50" s="32"/>
      <c r="H50" s="33">
        <v>273412799</v>
      </c>
      <c r="I50" s="32"/>
      <c r="J50" s="33"/>
    </row>
    <row r="51" spans="1:10" x14ac:dyDescent="0.4">
      <c r="A51" s="34" t="s">
        <v>125</v>
      </c>
      <c r="B51" s="32" t="s">
        <v>71</v>
      </c>
      <c r="C51" s="36"/>
      <c r="D51" s="34" t="s">
        <v>124</v>
      </c>
      <c r="E51" s="33">
        <v>110000</v>
      </c>
      <c r="F51" s="36"/>
      <c r="G51" s="33">
        <v>230000</v>
      </c>
      <c r="H51" s="32"/>
      <c r="I51" s="33"/>
      <c r="J51" s="32"/>
    </row>
    <row r="52" spans="1:10" x14ac:dyDescent="0.4">
      <c r="A52" s="34" t="s">
        <v>126</v>
      </c>
      <c r="B52" s="33">
        <v>130117903</v>
      </c>
      <c r="C52" s="36"/>
      <c r="D52" s="34" t="s">
        <v>125</v>
      </c>
      <c r="E52" s="33">
        <v>2796666</v>
      </c>
      <c r="F52" s="36"/>
      <c r="G52" s="32" t="s">
        <v>71</v>
      </c>
      <c r="H52" s="32"/>
      <c r="I52" s="32"/>
      <c r="J52" s="32"/>
    </row>
    <row r="53" spans="1:10" x14ac:dyDescent="0.4">
      <c r="A53" s="34" t="s">
        <v>127</v>
      </c>
      <c r="B53" s="33">
        <v>301166251</v>
      </c>
      <c r="C53" s="36"/>
      <c r="D53" s="34" t="s">
        <v>126</v>
      </c>
      <c r="E53" s="33">
        <v>16807473</v>
      </c>
      <c r="F53" s="36"/>
      <c r="G53" s="32" t="s">
        <v>71</v>
      </c>
      <c r="H53" s="32"/>
      <c r="I53" s="32"/>
      <c r="J53" s="32"/>
    </row>
    <row r="54" spans="1:10" x14ac:dyDescent="0.4">
      <c r="A54" s="34" t="s">
        <v>128</v>
      </c>
      <c r="B54" s="32"/>
      <c r="C54" s="35">
        <v>176316999</v>
      </c>
      <c r="D54" s="34" t="s">
        <v>127</v>
      </c>
      <c r="E54" s="33">
        <v>247759221</v>
      </c>
      <c r="F54" s="36"/>
      <c r="G54" s="33">
        <v>273182799</v>
      </c>
      <c r="H54" s="32"/>
      <c r="I54" s="33"/>
      <c r="J54" s="32"/>
    </row>
    <row r="55" spans="1:10" x14ac:dyDescent="0.4">
      <c r="A55" s="34" t="s">
        <v>129</v>
      </c>
      <c r="B55" s="33">
        <v>64826970</v>
      </c>
      <c r="C55" s="36"/>
      <c r="D55" s="34" t="s">
        <v>128</v>
      </c>
      <c r="E55" s="32"/>
      <c r="F55" s="35">
        <v>397337638</v>
      </c>
      <c r="G55" s="32"/>
      <c r="H55" s="33">
        <v>67368335</v>
      </c>
      <c r="I55" s="32"/>
      <c r="J55" s="33"/>
    </row>
    <row r="56" spans="1:10" x14ac:dyDescent="0.4">
      <c r="A56" s="34" t="s">
        <v>130</v>
      </c>
      <c r="B56" s="33">
        <v>1631743</v>
      </c>
      <c r="C56" s="36"/>
      <c r="D56" s="34" t="s">
        <v>129</v>
      </c>
      <c r="E56" s="33">
        <v>26898290</v>
      </c>
      <c r="F56" s="36"/>
      <c r="G56" s="32" t="s">
        <v>71</v>
      </c>
      <c r="H56" s="32"/>
      <c r="I56" s="32"/>
      <c r="J56" s="32"/>
    </row>
    <row r="57" spans="1:10" x14ac:dyDescent="0.4">
      <c r="A57" s="34" t="s">
        <v>131</v>
      </c>
      <c r="B57" s="33">
        <v>38000</v>
      </c>
      <c r="C57" s="36"/>
      <c r="D57" s="34" t="s">
        <v>130</v>
      </c>
      <c r="E57" s="33">
        <v>252030566</v>
      </c>
      <c r="F57" s="36"/>
      <c r="G57" s="33">
        <v>57315335</v>
      </c>
      <c r="H57" s="32"/>
      <c r="I57" s="33"/>
      <c r="J57" s="32"/>
    </row>
    <row r="58" spans="1:10" x14ac:dyDescent="0.4">
      <c r="A58" s="34" t="s">
        <v>132</v>
      </c>
      <c r="B58" s="32" t="s">
        <v>71</v>
      </c>
      <c r="C58" s="36"/>
      <c r="D58" s="34" t="s">
        <v>131</v>
      </c>
      <c r="E58" s="33">
        <v>120000</v>
      </c>
      <c r="F58" s="36"/>
      <c r="G58" s="33">
        <v>53000</v>
      </c>
      <c r="H58" s="32"/>
      <c r="I58" s="33"/>
      <c r="J58" s="32"/>
    </row>
    <row r="59" spans="1:10" x14ac:dyDescent="0.4">
      <c r="A59" s="34" t="s">
        <v>133</v>
      </c>
      <c r="B59" s="33">
        <v>109820286</v>
      </c>
      <c r="C59" s="36"/>
      <c r="D59" s="34" t="s">
        <v>132</v>
      </c>
      <c r="E59" s="33">
        <v>106932178</v>
      </c>
      <c r="F59" s="36"/>
      <c r="G59" s="32" t="s">
        <v>71</v>
      </c>
      <c r="H59" s="32"/>
      <c r="I59" s="32"/>
      <c r="J59" s="32"/>
    </row>
    <row r="60" spans="1:10" x14ac:dyDescent="0.4">
      <c r="A60" s="34" t="s">
        <v>134</v>
      </c>
      <c r="B60" s="32"/>
      <c r="C60" s="35">
        <v>45861911700</v>
      </c>
      <c r="D60" s="34" t="s">
        <v>133</v>
      </c>
      <c r="E60" s="33">
        <v>11356604</v>
      </c>
      <c r="F60" s="36"/>
      <c r="G60" s="33">
        <v>10000000</v>
      </c>
      <c r="H60" s="32"/>
      <c r="I60" s="33"/>
      <c r="J60" s="32"/>
    </row>
    <row r="61" spans="1:10" x14ac:dyDescent="0.4">
      <c r="A61" s="34" t="s">
        <v>157</v>
      </c>
      <c r="B61" s="32"/>
      <c r="C61" s="35">
        <v>10598286133</v>
      </c>
      <c r="D61" s="34" t="s">
        <v>134</v>
      </c>
      <c r="E61" s="32"/>
      <c r="F61" s="35">
        <v>2395790157</v>
      </c>
      <c r="G61" s="32"/>
      <c r="H61" s="33">
        <v>5037415718</v>
      </c>
      <c r="I61" s="32"/>
      <c r="J61" s="33"/>
    </row>
    <row r="62" spans="1:10" x14ac:dyDescent="0.4">
      <c r="A62" s="77" t="s">
        <v>136</v>
      </c>
      <c r="B62" s="78"/>
      <c r="C62" s="79">
        <v>35263625567</v>
      </c>
      <c r="D62" s="34" t="s">
        <v>135</v>
      </c>
      <c r="E62" s="32"/>
      <c r="F62" s="35">
        <v>-590573166</v>
      </c>
      <c r="G62" s="32"/>
      <c r="H62" s="33">
        <v>1136562634</v>
      </c>
      <c r="I62" s="32"/>
      <c r="J62" s="33"/>
    </row>
    <row r="63" spans="1:10" x14ac:dyDescent="0.4">
      <c r="D63" s="77" t="s">
        <v>136</v>
      </c>
      <c r="E63" s="78"/>
      <c r="F63" s="79">
        <v>2986363323</v>
      </c>
      <c r="G63" s="78"/>
      <c r="H63" s="80">
        <v>3900853084</v>
      </c>
      <c r="I63" s="78"/>
      <c r="J63" s="80">
        <v>3406591396</v>
      </c>
    </row>
  </sheetData>
  <mergeCells count="8">
    <mergeCell ref="I2:J2"/>
    <mergeCell ref="I3:J3"/>
    <mergeCell ref="B3:C3"/>
    <mergeCell ref="B2:C2"/>
    <mergeCell ref="G3:H3"/>
    <mergeCell ref="E3:F3"/>
    <mergeCell ref="E2:F2"/>
    <mergeCell ref="G2:H2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9F4F6-C08E-40F8-A89E-7853FF688504}">
  <dimension ref="A2:P60"/>
  <sheetViews>
    <sheetView zoomScale="70" zoomScaleNormal="70" workbookViewId="0">
      <selection activeCell="B1" sqref="B1"/>
    </sheetView>
  </sheetViews>
  <sheetFormatPr defaultRowHeight="17.399999999999999" x14ac:dyDescent="0.4"/>
  <cols>
    <col min="1" max="1" width="33.59765625" bestFit="1" customWidth="1"/>
    <col min="2" max="3" width="16" bestFit="1" customWidth="1"/>
    <col min="4" max="4" width="33.59765625" bestFit="1" customWidth="1"/>
    <col min="5" max="10" width="16" bestFit="1" customWidth="1"/>
    <col min="13" max="16" width="15.5" bestFit="1" customWidth="1"/>
  </cols>
  <sheetData>
    <row r="2" spans="1:16" x14ac:dyDescent="0.4">
      <c r="B2" s="127">
        <v>2022</v>
      </c>
      <c r="C2" s="127"/>
      <c r="E2" s="127">
        <v>2023</v>
      </c>
      <c r="F2" s="127"/>
      <c r="G2" s="127">
        <v>2024</v>
      </c>
      <c r="H2" s="127"/>
      <c r="I2" s="127">
        <v>2025</v>
      </c>
      <c r="J2" s="127"/>
      <c r="O2" s="22"/>
      <c r="P2" s="22" t="s">
        <v>50</v>
      </c>
    </row>
    <row r="3" spans="1:16" x14ac:dyDescent="0.4">
      <c r="A3" s="11" t="s">
        <v>54</v>
      </c>
      <c r="B3" s="128" t="s">
        <v>217</v>
      </c>
      <c r="C3" s="129"/>
      <c r="D3" s="11" t="s">
        <v>54</v>
      </c>
      <c r="E3" s="128" t="s">
        <v>159</v>
      </c>
      <c r="F3" s="129"/>
      <c r="G3" s="128" t="s">
        <v>158</v>
      </c>
      <c r="H3" s="130"/>
      <c r="I3" s="128" t="s">
        <v>419</v>
      </c>
      <c r="J3" s="130"/>
      <c r="L3" s="20" t="s">
        <v>49</v>
      </c>
      <c r="M3" s="21">
        <v>2022</v>
      </c>
      <c r="N3" s="21">
        <v>2023</v>
      </c>
      <c r="O3" s="21">
        <v>2024</v>
      </c>
      <c r="P3" s="21">
        <v>2025</v>
      </c>
    </row>
    <row r="4" spans="1:16" x14ac:dyDescent="0.4">
      <c r="A4" s="34" t="s">
        <v>160</v>
      </c>
      <c r="B4" s="32"/>
      <c r="C4" s="35">
        <v>116128543240</v>
      </c>
      <c r="D4" s="34" t="s">
        <v>160</v>
      </c>
      <c r="E4" s="32"/>
      <c r="F4" s="35">
        <v>147044638123</v>
      </c>
      <c r="G4" s="32"/>
      <c r="H4" s="33">
        <v>145662697720</v>
      </c>
      <c r="I4" s="32"/>
      <c r="J4" s="33">
        <v>122035565548</v>
      </c>
      <c r="L4" s="72" t="s">
        <v>231</v>
      </c>
      <c r="M4" s="73">
        <f>C45+B43+B37+B32</f>
        <v>68305342372</v>
      </c>
      <c r="N4" s="73">
        <f>+F48+E46+E40+E36</f>
        <v>51616426796</v>
      </c>
      <c r="O4" s="73">
        <f>+H48+G40+G36-G26</f>
        <v>63740057724</v>
      </c>
      <c r="P4" s="73">
        <f>+J48+I40+I36-I26</f>
        <v>60292332247</v>
      </c>
    </row>
    <row r="5" spans="1:16" x14ac:dyDescent="0.4">
      <c r="A5" s="34" t="s">
        <v>161</v>
      </c>
      <c r="B5" s="33">
        <v>102022477888</v>
      </c>
      <c r="C5" s="36"/>
      <c r="D5" s="34" t="s">
        <v>161</v>
      </c>
      <c r="E5" s="33">
        <v>136884029316</v>
      </c>
      <c r="F5" s="36"/>
      <c r="G5" s="33">
        <v>128254447916</v>
      </c>
      <c r="H5" s="32"/>
      <c r="I5" s="33"/>
      <c r="J5" s="32"/>
      <c r="L5" s="28" t="s">
        <v>46</v>
      </c>
      <c r="M5" s="29">
        <f>C45</f>
        <v>26866042513</v>
      </c>
      <c r="N5" s="29">
        <f>F48</f>
        <v>-5020427129</v>
      </c>
      <c r="O5" s="29">
        <f>H48</f>
        <v>-34467315255</v>
      </c>
      <c r="P5" s="29">
        <f>J48</f>
        <v>-9667560426</v>
      </c>
    </row>
    <row r="6" spans="1:16" x14ac:dyDescent="0.4">
      <c r="A6" s="34" t="s">
        <v>162</v>
      </c>
      <c r="B6" s="33">
        <v>4218722734</v>
      </c>
      <c r="C6" s="36"/>
      <c r="D6" s="34" t="s">
        <v>162</v>
      </c>
      <c r="E6" s="33">
        <v>9641321273</v>
      </c>
      <c r="F6" s="36"/>
      <c r="G6" s="33">
        <v>6041078422</v>
      </c>
      <c r="H6" s="32"/>
      <c r="I6" s="33"/>
      <c r="J6" s="32"/>
      <c r="L6" s="26" t="s">
        <v>47</v>
      </c>
      <c r="M6" s="27">
        <f>C56</f>
        <v>20829032482</v>
      </c>
      <c r="N6" s="27">
        <f>F60</f>
        <v>-3048464436</v>
      </c>
      <c r="O6" s="27">
        <f>H60</f>
        <v>-27089060188</v>
      </c>
      <c r="P6" s="27">
        <f>J60</f>
        <v>-6697613883</v>
      </c>
    </row>
    <row r="7" spans="1:16" x14ac:dyDescent="0.4">
      <c r="A7" s="34" t="s">
        <v>218</v>
      </c>
      <c r="B7" s="32" t="s">
        <v>71</v>
      </c>
      <c r="C7" s="36"/>
      <c r="D7" s="34" t="s">
        <v>163</v>
      </c>
      <c r="E7" s="33">
        <v>322522985</v>
      </c>
      <c r="F7" s="36"/>
      <c r="G7" s="33">
        <v>1887809680</v>
      </c>
      <c r="H7" s="32"/>
      <c r="I7" s="33"/>
      <c r="J7" s="32"/>
    </row>
    <row r="8" spans="1:16" x14ac:dyDescent="0.4">
      <c r="A8" s="34" t="s">
        <v>164</v>
      </c>
      <c r="B8" s="32" t="s">
        <v>71</v>
      </c>
      <c r="C8" s="36"/>
      <c r="D8" s="34" t="s">
        <v>164</v>
      </c>
      <c r="E8" s="33">
        <v>509116825</v>
      </c>
      <c r="F8" s="36"/>
      <c r="G8" s="33">
        <v>427787470</v>
      </c>
      <c r="H8" s="32"/>
      <c r="I8" s="33"/>
      <c r="J8" s="32"/>
    </row>
    <row r="9" spans="1:16" x14ac:dyDescent="0.4">
      <c r="A9" s="34" t="s">
        <v>165</v>
      </c>
      <c r="B9" s="33">
        <v>279511646</v>
      </c>
      <c r="C9" s="36"/>
      <c r="D9" s="34" t="s">
        <v>165</v>
      </c>
      <c r="E9" s="33">
        <v>500116353</v>
      </c>
      <c r="F9" s="36"/>
      <c r="G9" s="33">
        <v>491504741</v>
      </c>
      <c r="H9" s="32"/>
      <c r="I9" s="33"/>
      <c r="J9" s="32"/>
      <c r="L9" t="s">
        <v>48</v>
      </c>
      <c r="O9" s="22"/>
      <c r="P9" s="22" t="s">
        <v>51</v>
      </c>
    </row>
    <row r="10" spans="1:16" x14ac:dyDescent="0.4">
      <c r="A10" s="34" t="s">
        <v>166</v>
      </c>
      <c r="B10" s="33">
        <v>97316970306</v>
      </c>
      <c r="C10" s="36"/>
      <c r="D10" s="34" t="s">
        <v>166</v>
      </c>
      <c r="E10" s="33">
        <v>125648401271</v>
      </c>
      <c r="F10" s="36"/>
      <c r="G10" s="33">
        <v>119184755347</v>
      </c>
      <c r="H10" s="32"/>
      <c r="I10" s="33"/>
      <c r="J10" s="32"/>
      <c r="L10" s="20" t="s">
        <v>49</v>
      </c>
      <c r="M10" s="21">
        <v>2022</v>
      </c>
      <c r="N10" s="21">
        <v>2023</v>
      </c>
      <c r="O10" s="21">
        <v>2024</v>
      </c>
      <c r="P10" s="21">
        <v>2025</v>
      </c>
    </row>
    <row r="11" spans="1:16" x14ac:dyDescent="0.4">
      <c r="A11" s="34" t="s">
        <v>167</v>
      </c>
      <c r="B11" s="33">
        <v>207273202</v>
      </c>
      <c r="C11" s="36"/>
      <c r="D11" s="34" t="s">
        <v>167</v>
      </c>
      <c r="E11" s="33">
        <v>262550609</v>
      </c>
      <c r="F11" s="36"/>
      <c r="G11" s="33">
        <v>221512256</v>
      </c>
      <c r="H11" s="32"/>
      <c r="I11" s="33"/>
      <c r="J11" s="32"/>
      <c r="L11" s="72" t="s">
        <v>231</v>
      </c>
      <c r="M11" s="73">
        <f t="shared" ref="M11:O13" si="0">M4/1000000</f>
        <v>68305.342371999999</v>
      </c>
      <c r="N11" s="73">
        <f t="shared" si="0"/>
        <v>51616.426796</v>
      </c>
      <c r="O11" s="73">
        <f t="shared" si="0"/>
        <v>63740.057723999998</v>
      </c>
      <c r="P11" s="73">
        <f t="shared" ref="P11" si="1">P4/1000000</f>
        <v>60292.332246999998</v>
      </c>
    </row>
    <row r="12" spans="1:16" x14ac:dyDescent="0.4">
      <c r="A12" s="34" t="s">
        <v>168</v>
      </c>
      <c r="B12" s="33">
        <v>7623975750</v>
      </c>
      <c r="C12" s="36"/>
      <c r="D12" s="34" t="s">
        <v>168</v>
      </c>
      <c r="E12" s="33">
        <v>939022714</v>
      </c>
      <c r="F12" s="36"/>
      <c r="G12" s="33">
        <v>2297407451</v>
      </c>
      <c r="H12" s="32"/>
      <c r="I12" s="33"/>
      <c r="J12" s="32"/>
      <c r="L12" s="28" t="s">
        <v>46</v>
      </c>
      <c r="M12" s="29">
        <f t="shared" si="0"/>
        <v>26866.042513</v>
      </c>
      <c r="N12" s="29">
        <f t="shared" si="0"/>
        <v>-5020.4271289999997</v>
      </c>
      <c r="O12" s="29">
        <f t="shared" si="0"/>
        <v>-34467.315255000001</v>
      </c>
      <c r="P12" s="29">
        <f t="shared" ref="P12" si="2">P5/1000000</f>
        <v>-9667.560426</v>
      </c>
    </row>
    <row r="13" spans="1:16" x14ac:dyDescent="0.4">
      <c r="A13" s="34" t="s">
        <v>219</v>
      </c>
      <c r="B13" s="32" t="s">
        <v>71</v>
      </c>
      <c r="C13" s="36"/>
      <c r="D13" s="34" t="s">
        <v>169</v>
      </c>
      <c r="E13" s="33">
        <v>258190077</v>
      </c>
      <c r="F13" s="36"/>
      <c r="G13" s="33">
        <v>534306249</v>
      </c>
      <c r="H13" s="32"/>
      <c r="I13" s="33"/>
      <c r="J13" s="32"/>
      <c r="L13" s="26" t="s">
        <v>47</v>
      </c>
      <c r="M13" s="27">
        <f t="shared" si="0"/>
        <v>20829.032481999999</v>
      </c>
      <c r="N13" s="27">
        <f t="shared" si="0"/>
        <v>-3048.4644360000002</v>
      </c>
      <c r="O13" s="27">
        <f t="shared" si="0"/>
        <v>-27089.060187999999</v>
      </c>
      <c r="P13" s="27">
        <f t="shared" ref="P13" si="3">P6/1000000</f>
        <v>-6697.613883</v>
      </c>
    </row>
    <row r="14" spans="1:16" x14ac:dyDescent="0.4">
      <c r="A14" s="34" t="s">
        <v>220</v>
      </c>
      <c r="B14" s="32" t="s">
        <v>71</v>
      </c>
      <c r="C14" s="36"/>
      <c r="D14" s="34" t="s">
        <v>170</v>
      </c>
      <c r="E14" s="33">
        <v>680832637</v>
      </c>
      <c r="F14" s="36"/>
      <c r="G14" s="33">
        <v>1650072262</v>
      </c>
      <c r="H14" s="32"/>
      <c r="I14" s="33"/>
      <c r="J14" s="32"/>
    </row>
    <row r="15" spans="1:16" x14ac:dyDescent="0.4">
      <c r="A15" s="34" t="s">
        <v>171</v>
      </c>
      <c r="B15" s="33">
        <v>7623975750</v>
      </c>
      <c r="C15" s="36"/>
      <c r="D15" s="34" t="s">
        <v>171</v>
      </c>
      <c r="E15" s="32" t="s">
        <v>71</v>
      </c>
      <c r="F15" s="36"/>
      <c r="G15" s="33">
        <v>113028940</v>
      </c>
      <c r="H15" s="32"/>
      <c r="I15" s="33"/>
      <c r="J15" s="32"/>
    </row>
    <row r="16" spans="1:16" x14ac:dyDescent="0.4">
      <c r="A16" s="34" t="s">
        <v>172</v>
      </c>
      <c r="B16" s="33">
        <v>152509099</v>
      </c>
      <c r="C16" s="36"/>
      <c r="D16" s="34" t="s">
        <v>172</v>
      </c>
      <c r="E16" s="33">
        <v>4098504810</v>
      </c>
      <c r="F16" s="36"/>
      <c r="G16" s="33">
        <v>9171303603</v>
      </c>
      <c r="H16" s="32"/>
      <c r="I16" s="33"/>
      <c r="J16" s="32"/>
      <c r="L16" t="s">
        <v>52</v>
      </c>
      <c r="O16" s="22"/>
      <c r="P16" s="22" t="s">
        <v>53</v>
      </c>
    </row>
    <row r="17" spans="1:16" x14ac:dyDescent="0.4">
      <c r="A17" s="34" t="s">
        <v>173</v>
      </c>
      <c r="B17" s="33">
        <v>152509099</v>
      </c>
      <c r="C17" s="36"/>
      <c r="D17" s="34" t="s">
        <v>173</v>
      </c>
      <c r="E17" s="33">
        <v>4098504810</v>
      </c>
      <c r="F17" s="36"/>
      <c r="G17" s="33">
        <v>9171303603</v>
      </c>
      <c r="H17" s="32"/>
      <c r="I17" s="33"/>
      <c r="J17" s="32"/>
      <c r="L17" s="20" t="s">
        <v>49</v>
      </c>
      <c r="M17" s="21">
        <v>2022</v>
      </c>
      <c r="N17" s="21">
        <v>2023</v>
      </c>
      <c r="O17" s="21">
        <v>2024</v>
      </c>
      <c r="P17" s="21">
        <v>2025</v>
      </c>
    </row>
    <row r="18" spans="1:16" x14ac:dyDescent="0.4">
      <c r="A18" s="34" t="s">
        <v>174</v>
      </c>
      <c r="B18" s="33">
        <v>4523104452</v>
      </c>
      <c r="C18" s="36"/>
      <c r="D18" s="34" t="s">
        <v>174</v>
      </c>
      <c r="E18" s="33">
        <v>3495024589</v>
      </c>
      <c r="F18" s="36"/>
      <c r="G18" s="33">
        <v>3252076136</v>
      </c>
      <c r="H18" s="32"/>
      <c r="I18" s="33"/>
      <c r="J18" s="32"/>
      <c r="L18" s="72" t="s">
        <v>231</v>
      </c>
      <c r="M18" s="73">
        <f t="shared" ref="M18:O20" si="4">M4/100000000</f>
        <v>683.05342371999996</v>
      </c>
      <c r="N18" s="73">
        <f t="shared" si="4"/>
        <v>516.16426795999996</v>
      </c>
      <c r="O18" s="73">
        <f t="shared" si="4"/>
        <v>637.40057723999996</v>
      </c>
      <c r="P18" s="73">
        <f t="shared" ref="P18" si="5">P4/100000000</f>
        <v>602.92332247000002</v>
      </c>
    </row>
    <row r="19" spans="1:16" x14ac:dyDescent="0.4">
      <c r="A19" s="34" t="s">
        <v>175</v>
      </c>
      <c r="B19" s="33">
        <v>25451800</v>
      </c>
      <c r="C19" s="36"/>
      <c r="D19" s="34" t="s">
        <v>175</v>
      </c>
      <c r="E19" s="33">
        <v>31817000</v>
      </c>
      <c r="F19" s="36"/>
      <c r="G19" s="33">
        <v>14443300</v>
      </c>
      <c r="H19" s="32"/>
      <c r="I19" s="33"/>
      <c r="J19" s="32"/>
      <c r="L19" s="28" t="s">
        <v>46</v>
      </c>
      <c r="M19" s="29">
        <f t="shared" si="4"/>
        <v>268.66042513000002</v>
      </c>
      <c r="N19" s="29">
        <f t="shared" si="4"/>
        <v>-50.204271290000001</v>
      </c>
      <c r="O19" s="29">
        <f t="shared" si="4"/>
        <v>-344.67315255</v>
      </c>
      <c r="P19" s="29">
        <f t="shared" ref="P19" si="6">P5/100000000</f>
        <v>-96.67560426</v>
      </c>
    </row>
    <row r="20" spans="1:16" x14ac:dyDescent="0.4">
      <c r="A20" s="34" t="s">
        <v>176</v>
      </c>
      <c r="B20" s="33">
        <v>60707</v>
      </c>
      <c r="C20" s="36"/>
      <c r="D20" s="34" t="s">
        <v>176</v>
      </c>
      <c r="E20" s="33">
        <v>221925</v>
      </c>
      <c r="F20" s="36"/>
      <c r="G20" s="33">
        <v>31413</v>
      </c>
      <c r="H20" s="32"/>
      <c r="I20" s="33"/>
      <c r="J20" s="32"/>
      <c r="L20" s="26" t="s">
        <v>47</v>
      </c>
      <c r="M20" s="27">
        <f t="shared" si="4"/>
        <v>208.29032482</v>
      </c>
      <c r="N20" s="27">
        <f t="shared" si="4"/>
        <v>-30.484644360000001</v>
      </c>
      <c r="O20" s="27">
        <f t="shared" si="4"/>
        <v>-270.89060188000002</v>
      </c>
      <c r="P20" s="27">
        <f t="shared" ref="P20" si="7">P6/100000000</f>
        <v>-66.976138829999996</v>
      </c>
    </row>
    <row r="21" spans="1:16" x14ac:dyDescent="0.4">
      <c r="A21" s="34" t="s">
        <v>177</v>
      </c>
      <c r="B21" s="33">
        <v>1619353986</v>
      </c>
      <c r="C21" s="36"/>
      <c r="D21" s="34" t="s">
        <v>177</v>
      </c>
      <c r="E21" s="33">
        <v>1135884031</v>
      </c>
      <c r="F21" s="36"/>
      <c r="G21" s="33">
        <v>1395819969</v>
      </c>
      <c r="H21" s="32"/>
      <c r="I21" s="33"/>
      <c r="J21" s="32"/>
    </row>
    <row r="22" spans="1:16" x14ac:dyDescent="0.4">
      <c r="A22" s="34" t="s">
        <v>178</v>
      </c>
      <c r="B22" s="33">
        <v>2878237959</v>
      </c>
      <c r="C22" s="36"/>
      <c r="D22" s="34" t="s">
        <v>178</v>
      </c>
      <c r="E22" s="33">
        <v>2327101633</v>
      </c>
      <c r="F22" s="36"/>
      <c r="G22" s="33">
        <v>1841781454</v>
      </c>
      <c r="H22" s="32"/>
      <c r="I22" s="33"/>
      <c r="J22" s="32"/>
      <c r="L22" s="50" t="s">
        <v>230</v>
      </c>
    </row>
    <row r="23" spans="1:16" x14ac:dyDescent="0.4">
      <c r="A23" s="34" t="s">
        <v>179</v>
      </c>
      <c r="B23" s="33">
        <v>1806476051</v>
      </c>
      <c r="C23" s="36"/>
      <c r="D23" s="34" t="s">
        <v>179</v>
      </c>
      <c r="E23" s="33">
        <v>1628056694</v>
      </c>
      <c r="F23" s="36"/>
      <c r="G23" s="33">
        <v>1406290138</v>
      </c>
      <c r="H23" s="32"/>
      <c r="I23" s="33"/>
      <c r="J23" s="32"/>
    </row>
    <row r="24" spans="1:16" x14ac:dyDescent="0.4">
      <c r="A24" s="34" t="s">
        <v>180</v>
      </c>
      <c r="B24" s="33">
        <v>1806476051</v>
      </c>
      <c r="C24" s="36"/>
      <c r="D24" s="34" t="s">
        <v>180</v>
      </c>
      <c r="E24" s="33">
        <v>1628056694</v>
      </c>
      <c r="F24" s="36"/>
      <c r="G24" s="33">
        <v>1406290138</v>
      </c>
      <c r="H24" s="32"/>
      <c r="I24" s="33"/>
      <c r="J24" s="32"/>
    </row>
    <row r="25" spans="1:16" x14ac:dyDescent="0.4">
      <c r="A25" s="34" t="s">
        <v>184</v>
      </c>
      <c r="B25" s="32"/>
      <c r="C25" s="35">
        <v>89262500727</v>
      </c>
      <c r="D25" s="34" t="s">
        <v>181</v>
      </c>
      <c r="E25" s="32" t="s">
        <v>71</v>
      </c>
      <c r="F25" s="36"/>
      <c r="G25" s="33">
        <v>1281172476</v>
      </c>
      <c r="H25" s="32"/>
      <c r="I25" s="33"/>
      <c r="J25" s="32"/>
    </row>
    <row r="26" spans="1:16" x14ac:dyDescent="0.4">
      <c r="A26" s="34" t="s">
        <v>185</v>
      </c>
      <c r="B26" s="33">
        <v>40160920162</v>
      </c>
      <c r="C26" s="36"/>
      <c r="D26" s="51" t="s">
        <v>182</v>
      </c>
      <c r="E26" s="55" t="s">
        <v>71</v>
      </c>
      <c r="F26" s="71"/>
      <c r="G26" s="76">
        <v>1221672483</v>
      </c>
      <c r="H26" s="55"/>
      <c r="I26" s="76">
        <v>55374480</v>
      </c>
      <c r="J26" s="55"/>
    </row>
    <row r="27" spans="1:16" x14ac:dyDescent="0.4">
      <c r="A27" s="34" t="s">
        <v>186</v>
      </c>
      <c r="B27" s="33">
        <v>40023668002</v>
      </c>
      <c r="C27" s="36"/>
      <c r="D27" s="34" t="s">
        <v>183</v>
      </c>
      <c r="E27" s="32" t="s">
        <v>71</v>
      </c>
      <c r="F27" s="36"/>
      <c r="G27" s="33">
        <v>59499993</v>
      </c>
      <c r="H27" s="32"/>
      <c r="I27" s="33"/>
      <c r="J27" s="32"/>
    </row>
    <row r="28" spans="1:16" x14ac:dyDescent="0.4">
      <c r="A28" s="34" t="s">
        <v>187</v>
      </c>
      <c r="B28" s="33">
        <v>137252160</v>
      </c>
      <c r="C28" s="36"/>
      <c r="D28" s="34" t="s">
        <v>184</v>
      </c>
      <c r="E28" s="32"/>
      <c r="F28" s="35">
        <v>152065065252</v>
      </c>
      <c r="G28" s="32"/>
      <c r="H28" s="33">
        <v>180130012975</v>
      </c>
      <c r="I28" s="32"/>
      <c r="J28" s="33"/>
    </row>
    <row r="29" spans="1:16" x14ac:dyDescent="0.4">
      <c r="A29" s="34" t="s">
        <v>188</v>
      </c>
      <c r="B29" s="32" t="s">
        <v>71</v>
      </c>
      <c r="C29" s="36"/>
      <c r="D29" s="34" t="s">
        <v>185</v>
      </c>
      <c r="E29" s="33">
        <v>84642482376</v>
      </c>
      <c r="F29" s="36"/>
      <c r="G29" s="33">
        <v>69036485194</v>
      </c>
      <c r="H29" s="32"/>
      <c r="I29" s="33"/>
      <c r="J29" s="32"/>
    </row>
    <row r="30" spans="1:16" x14ac:dyDescent="0.4">
      <c r="A30" s="34" t="s">
        <v>221</v>
      </c>
      <c r="B30" s="32" t="s">
        <v>71</v>
      </c>
      <c r="C30" s="36"/>
      <c r="D30" s="34" t="s">
        <v>186</v>
      </c>
      <c r="E30" s="33">
        <v>84469562733</v>
      </c>
      <c r="F30" s="36"/>
      <c r="G30" s="33">
        <v>68900536639</v>
      </c>
      <c r="H30" s="32"/>
      <c r="I30" s="33"/>
      <c r="J30" s="32"/>
    </row>
    <row r="31" spans="1:16" x14ac:dyDescent="0.4">
      <c r="A31" s="34" t="s">
        <v>191</v>
      </c>
      <c r="B31" s="33">
        <v>22476627181</v>
      </c>
      <c r="C31" s="36"/>
      <c r="D31" s="34" t="s">
        <v>187</v>
      </c>
      <c r="E31" s="33">
        <v>172919643</v>
      </c>
      <c r="F31" s="36"/>
      <c r="G31" s="33">
        <v>135948555</v>
      </c>
      <c r="H31" s="32"/>
      <c r="I31" s="33"/>
      <c r="J31" s="32"/>
    </row>
    <row r="32" spans="1:16" x14ac:dyDescent="0.4">
      <c r="A32" s="51" t="s">
        <v>192</v>
      </c>
      <c r="B32" s="76">
        <v>22468726089</v>
      </c>
      <c r="C32" s="71"/>
      <c r="D32" s="34" t="s">
        <v>188</v>
      </c>
      <c r="E32" s="33">
        <v>245170</v>
      </c>
      <c r="F32" s="36"/>
      <c r="G32" s="33">
        <v>174192186</v>
      </c>
      <c r="H32" s="32"/>
      <c r="I32" s="33"/>
      <c r="J32" s="32"/>
    </row>
    <row r="33" spans="1:10" x14ac:dyDescent="0.4">
      <c r="A33" s="34" t="s">
        <v>193</v>
      </c>
      <c r="B33" s="33">
        <v>7901092</v>
      </c>
      <c r="C33" s="36"/>
      <c r="D33" s="34" t="s">
        <v>189</v>
      </c>
      <c r="E33" s="33">
        <v>245170</v>
      </c>
      <c r="F33" s="36"/>
      <c r="G33" s="33">
        <v>171161466</v>
      </c>
      <c r="H33" s="32"/>
      <c r="I33" s="33"/>
      <c r="J33" s="32"/>
    </row>
    <row r="34" spans="1:10" x14ac:dyDescent="0.4">
      <c r="A34" s="34" t="s">
        <v>194</v>
      </c>
      <c r="B34" s="33">
        <v>1773551899</v>
      </c>
      <c r="C34" s="36"/>
      <c r="D34" s="34" t="s">
        <v>190</v>
      </c>
      <c r="E34" s="32" t="s">
        <v>71</v>
      </c>
      <c r="F34" s="36"/>
      <c r="G34" s="33">
        <v>3030720</v>
      </c>
      <c r="H34" s="32"/>
      <c r="I34" s="33"/>
      <c r="J34" s="32"/>
    </row>
    <row r="35" spans="1:10" x14ac:dyDescent="0.4">
      <c r="A35" s="34" t="s">
        <v>222</v>
      </c>
      <c r="B35" s="33">
        <v>240400</v>
      </c>
      <c r="C35" s="36"/>
      <c r="D35" s="34" t="s">
        <v>191</v>
      </c>
      <c r="E35" s="33">
        <v>37108429674</v>
      </c>
      <c r="F35" s="36"/>
      <c r="G35" s="33">
        <v>78756538607</v>
      </c>
      <c r="H35" s="32"/>
      <c r="I35" s="33"/>
      <c r="J35" s="32"/>
    </row>
    <row r="36" spans="1:10" x14ac:dyDescent="0.4">
      <c r="A36" s="34" t="s">
        <v>223</v>
      </c>
      <c r="B36" s="33">
        <v>1773311499</v>
      </c>
      <c r="C36" s="36"/>
      <c r="D36" s="51" t="s">
        <v>192</v>
      </c>
      <c r="E36" s="76">
        <v>36553956250</v>
      </c>
      <c r="F36" s="71"/>
      <c r="G36" s="76">
        <v>77642022405</v>
      </c>
      <c r="H36" s="55"/>
      <c r="I36" s="76">
        <v>47302485826</v>
      </c>
      <c r="J36" s="55"/>
    </row>
    <row r="37" spans="1:10" x14ac:dyDescent="0.4">
      <c r="A37" s="51" t="s">
        <v>196</v>
      </c>
      <c r="B37" s="76">
        <v>17914167631</v>
      </c>
      <c r="C37" s="71"/>
      <c r="D37" s="34" t="s">
        <v>193</v>
      </c>
      <c r="E37" s="33">
        <v>554473424</v>
      </c>
      <c r="F37" s="36"/>
      <c r="G37" s="33">
        <v>1114516202</v>
      </c>
      <c r="H37" s="32"/>
      <c r="I37" s="33"/>
      <c r="J37" s="32"/>
    </row>
    <row r="38" spans="1:10" x14ac:dyDescent="0.4">
      <c r="A38" s="34" t="s">
        <v>197</v>
      </c>
      <c r="B38" s="33">
        <v>9128416843</v>
      </c>
      <c r="C38" s="36"/>
      <c r="D38" s="34" t="s">
        <v>194</v>
      </c>
      <c r="E38" s="33">
        <v>2185297721</v>
      </c>
      <c r="F38" s="36"/>
      <c r="G38" s="33">
        <v>2249239685</v>
      </c>
      <c r="H38" s="32"/>
      <c r="I38" s="33"/>
      <c r="J38" s="32"/>
    </row>
    <row r="39" spans="1:10" x14ac:dyDescent="0.4">
      <c r="A39" s="34" t="s">
        <v>198</v>
      </c>
      <c r="B39" s="33">
        <v>8785750788</v>
      </c>
      <c r="C39" s="36"/>
      <c r="D39" s="34" t="s">
        <v>195</v>
      </c>
      <c r="E39" s="33">
        <v>2185297721</v>
      </c>
      <c r="F39" s="36"/>
      <c r="G39" s="33">
        <v>2249239685</v>
      </c>
      <c r="H39" s="32"/>
      <c r="I39" s="33"/>
      <c r="J39" s="32"/>
    </row>
    <row r="40" spans="1:10" x14ac:dyDescent="0.4">
      <c r="A40" s="34" t="s">
        <v>199</v>
      </c>
      <c r="B40" s="33">
        <v>6937233854</v>
      </c>
      <c r="C40" s="36"/>
      <c r="D40" s="51" t="s">
        <v>196</v>
      </c>
      <c r="E40" s="76">
        <v>19603533441</v>
      </c>
      <c r="F40" s="71"/>
      <c r="G40" s="76">
        <v>21787023057</v>
      </c>
      <c r="H40" s="55"/>
      <c r="I40" s="76">
        <v>22712781327</v>
      </c>
      <c r="J40" s="55"/>
    </row>
    <row r="41" spans="1:10" x14ac:dyDescent="0.4">
      <c r="A41" s="34" t="s">
        <v>200</v>
      </c>
      <c r="B41" s="33">
        <v>5797217000</v>
      </c>
      <c r="C41" s="36"/>
      <c r="D41" s="34" t="s">
        <v>197</v>
      </c>
      <c r="E41" s="33">
        <v>8565519196</v>
      </c>
      <c r="F41" s="36"/>
      <c r="G41" s="33">
        <v>9341168294</v>
      </c>
      <c r="H41" s="32"/>
      <c r="I41" s="33"/>
      <c r="J41" s="32"/>
    </row>
    <row r="42" spans="1:10" x14ac:dyDescent="0.4">
      <c r="A42" s="34" t="s">
        <v>201</v>
      </c>
      <c r="B42" s="33">
        <v>80418895</v>
      </c>
      <c r="C42" s="36"/>
      <c r="D42" s="34" t="s">
        <v>198</v>
      </c>
      <c r="E42" s="33">
        <v>11038014245</v>
      </c>
      <c r="F42" s="36"/>
      <c r="G42" s="33">
        <v>12445854763</v>
      </c>
      <c r="H42" s="32"/>
      <c r="I42" s="33"/>
      <c r="J42" s="32"/>
    </row>
    <row r="43" spans="1:10" x14ac:dyDescent="0.4">
      <c r="A43" s="51" t="s">
        <v>202</v>
      </c>
      <c r="B43" s="76">
        <v>1056406139</v>
      </c>
      <c r="C43" s="71"/>
      <c r="D43" s="34" t="s">
        <v>199</v>
      </c>
      <c r="E43" s="33">
        <v>8525076870</v>
      </c>
      <c r="F43" s="36"/>
      <c r="G43" s="33">
        <v>8126534246</v>
      </c>
      <c r="H43" s="32"/>
      <c r="I43" s="33"/>
      <c r="J43" s="32"/>
    </row>
    <row r="44" spans="1:10" x14ac:dyDescent="0.4">
      <c r="A44" s="81" t="s">
        <v>203</v>
      </c>
      <c r="B44" s="84">
        <v>3191820</v>
      </c>
      <c r="C44" s="85"/>
      <c r="D44" s="34" t="s">
        <v>200</v>
      </c>
      <c r="E44" s="33">
        <v>8025510000</v>
      </c>
      <c r="F44" s="36"/>
      <c r="G44" s="33">
        <v>8095404000</v>
      </c>
      <c r="H44" s="32"/>
      <c r="I44" s="33"/>
      <c r="J44" s="32"/>
    </row>
    <row r="45" spans="1:10" x14ac:dyDescent="0.4">
      <c r="A45" s="58" t="s">
        <v>224</v>
      </c>
      <c r="B45" s="60"/>
      <c r="C45" s="61">
        <v>26866042513</v>
      </c>
      <c r="D45" s="34" t="s">
        <v>201</v>
      </c>
      <c r="E45" s="33">
        <v>16811616</v>
      </c>
      <c r="F45" s="36"/>
      <c r="G45" s="33">
        <v>1143717</v>
      </c>
      <c r="H45" s="32"/>
      <c r="I45" s="33"/>
      <c r="J45" s="32"/>
    </row>
    <row r="46" spans="1:10" x14ac:dyDescent="0.4">
      <c r="A46" s="34" t="s">
        <v>205</v>
      </c>
      <c r="B46" s="32"/>
      <c r="C46" s="35">
        <v>734988978</v>
      </c>
      <c r="D46" s="51" t="s">
        <v>202</v>
      </c>
      <c r="E46" s="76">
        <v>479364234</v>
      </c>
      <c r="F46" s="71"/>
      <c r="G46" s="55" t="s">
        <v>71</v>
      </c>
      <c r="H46" s="55"/>
      <c r="I46" s="55"/>
      <c r="J46" s="55"/>
    </row>
    <row r="47" spans="1:10" x14ac:dyDescent="0.4">
      <c r="A47" s="34" t="s">
        <v>206</v>
      </c>
      <c r="B47" s="33">
        <v>645283255</v>
      </c>
      <c r="C47" s="36"/>
      <c r="D47" s="34" t="s">
        <v>203</v>
      </c>
      <c r="E47" s="33">
        <v>3391020</v>
      </c>
      <c r="F47" s="36"/>
      <c r="G47" s="33">
        <v>29986529</v>
      </c>
      <c r="H47" s="32"/>
      <c r="I47" s="33"/>
      <c r="J47" s="32"/>
    </row>
    <row r="48" spans="1:10" x14ac:dyDescent="0.4">
      <c r="A48" s="34" t="s">
        <v>207</v>
      </c>
      <c r="B48" s="32" t="s">
        <v>71</v>
      </c>
      <c r="C48" s="36"/>
      <c r="D48" s="58" t="s">
        <v>204</v>
      </c>
      <c r="E48" s="60"/>
      <c r="F48" s="61">
        <v>-5020427129</v>
      </c>
      <c r="G48" s="60"/>
      <c r="H48" s="75">
        <v>-34467315255</v>
      </c>
      <c r="I48" s="60"/>
      <c r="J48" s="75">
        <v>-9667560426</v>
      </c>
    </row>
    <row r="49" spans="1:10" x14ac:dyDescent="0.4">
      <c r="A49" s="34" t="s">
        <v>208</v>
      </c>
      <c r="B49" s="33">
        <v>89705723</v>
      </c>
      <c r="C49" s="36"/>
      <c r="D49" s="34" t="s">
        <v>205</v>
      </c>
      <c r="E49" s="32"/>
      <c r="F49" s="35">
        <v>1167116618</v>
      </c>
      <c r="G49" s="32"/>
      <c r="H49" s="33">
        <v>949228337</v>
      </c>
      <c r="I49" s="32"/>
      <c r="J49" s="33"/>
    </row>
    <row r="50" spans="1:10" x14ac:dyDescent="0.4">
      <c r="A50" s="34" t="s">
        <v>209</v>
      </c>
      <c r="B50" s="32"/>
      <c r="C50" s="35">
        <v>77862321</v>
      </c>
      <c r="D50" s="34" t="s">
        <v>206</v>
      </c>
      <c r="E50" s="33">
        <v>570726607</v>
      </c>
      <c r="F50" s="36"/>
      <c r="G50" s="33">
        <v>586306950</v>
      </c>
      <c r="H50" s="32"/>
      <c r="I50" s="33"/>
      <c r="J50" s="32"/>
    </row>
    <row r="51" spans="1:10" x14ac:dyDescent="0.4">
      <c r="A51" s="34" t="s">
        <v>210</v>
      </c>
      <c r="B51" s="33">
        <v>74351690</v>
      </c>
      <c r="C51" s="36"/>
      <c r="D51" s="34" t="s">
        <v>207</v>
      </c>
      <c r="E51" s="33">
        <v>386036017</v>
      </c>
      <c r="F51" s="36"/>
      <c r="G51" s="33">
        <v>139458492</v>
      </c>
      <c r="H51" s="32"/>
      <c r="I51" s="33"/>
      <c r="J51" s="32"/>
    </row>
    <row r="52" spans="1:10" x14ac:dyDescent="0.4">
      <c r="A52" s="34" t="s">
        <v>225</v>
      </c>
      <c r="B52" s="33">
        <v>3506631</v>
      </c>
      <c r="C52" s="36"/>
      <c r="D52" s="34" t="s">
        <v>208</v>
      </c>
      <c r="E52" s="33">
        <v>210353994</v>
      </c>
      <c r="F52" s="36"/>
      <c r="G52" s="33">
        <v>223462895</v>
      </c>
      <c r="H52" s="32"/>
      <c r="I52" s="33"/>
      <c r="J52" s="32"/>
    </row>
    <row r="53" spans="1:10" x14ac:dyDescent="0.4">
      <c r="A53" s="34" t="s">
        <v>226</v>
      </c>
      <c r="B53" s="33">
        <v>4000</v>
      </c>
      <c r="C53" s="36"/>
      <c r="D53" s="34" t="s">
        <v>209</v>
      </c>
      <c r="E53" s="32"/>
      <c r="F53" s="35">
        <v>59762344</v>
      </c>
      <c r="G53" s="32"/>
      <c r="H53" s="33">
        <v>293476660</v>
      </c>
      <c r="I53" s="32"/>
      <c r="J53" s="33"/>
    </row>
    <row r="54" spans="1:10" x14ac:dyDescent="0.4">
      <c r="A54" s="34" t="s">
        <v>227</v>
      </c>
      <c r="B54" s="32"/>
      <c r="C54" s="35">
        <v>27523169170</v>
      </c>
      <c r="D54" s="34" t="s">
        <v>210</v>
      </c>
      <c r="E54" s="33">
        <v>58573761</v>
      </c>
      <c r="F54" s="36"/>
      <c r="G54" s="33">
        <v>129396393</v>
      </c>
      <c r="H54" s="32"/>
      <c r="I54" s="33"/>
      <c r="J54" s="32"/>
    </row>
    <row r="55" spans="1:10" x14ac:dyDescent="0.4">
      <c r="A55" s="34" t="s">
        <v>228</v>
      </c>
      <c r="B55" s="32"/>
      <c r="C55" s="35">
        <v>6694136688</v>
      </c>
      <c r="D55" s="34" t="s">
        <v>211</v>
      </c>
      <c r="E55" s="32" t="s">
        <v>71</v>
      </c>
      <c r="F55" s="36"/>
      <c r="G55" s="33">
        <v>1298406</v>
      </c>
      <c r="H55" s="32"/>
      <c r="I55" s="33"/>
      <c r="J55" s="32"/>
    </row>
    <row r="56" spans="1:10" x14ac:dyDescent="0.4">
      <c r="A56" s="77" t="s">
        <v>229</v>
      </c>
      <c r="B56" s="78"/>
      <c r="C56" s="79">
        <v>20829032482</v>
      </c>
      <c r="D56" s="34" t="s">
        <v>212</v>
      </c>
      <c r="E56" s="33">
        <v>1150582</v>
      </c>
      <c r="F56" s="36"/>
      <c r="G56" s="33">
        <v>162716861</v>
      </c>
      <c r="H56" s="32"/>
      <c r="I56" s="33"/>
      <c r="J56" s="32"/>
    </row>
    <row r="57" spans="1:10" x14ac:dyDescent="0.4">
      <c r="D57" s="34" t="s">
        <v>213</v>
      </c>
      <c r="E57" s="33">
        <v>38001</v>
      </c>
      <c r="F57" s="36"/>
      <c r="G57" s="33">
        <v>65000</v>
      </c>
      <c r="H57" s="32"/>
      <c r="I57" s="33"/>
      <c r="J57" s="32"/>
    </row>
    <row r="58" spans="1:10" x14ac:dyDescent="0.4">
      <c r="D58" s="34" t="s">
        <v>214</v>
      </c>
      <c r="E58" s="32"/>
      <c r="F58" s="35">
        <v>-3913072855</v>
      </c>
      <c r="G58" s="32"/>
      <c r="H58" s="33">
        <v>-33811563578</v>
      </c>
      <c r="I58" s="32"/>
      <c r="J58" s="33"/>
    </row>
    <row r="59" spans="1:10" x14ac:dyDescent="0.4">
      <c r="D59" s="34" t="s">
        <v>215</v>
      </c>
      <c r="E59" s="32"/>
      <c r="F59" s="35">
        <v>-864608419</v>
      </c>
      <c r="G59" s="32"/>
      <c r="H59" s="33">
        <v>-6722503390</v>
      </c>
      <c r="I59" s="32"/>
      <c r="J59" s="33"/>
    </row>
    <row r="60" spans="1:10" x14ac:dyDescent="0.4">
      <c r="D60" s="77" t="s">
        <v>216</v>
      </c>
      <c r="E60" s="78"/>
      <c r="F60" s="79">
        <v>-3048464436</v>
      </c>
      <c r="G60" s="78"/>
      <c r="H60" s="80">
        <v>-27089060188</v>
      </c>
      <c r="I60" s="78"/>
      <c r="J60" s="80">
        <v>-6697613883</v>
      </c>
    </row>
  </sheetData>
  <mergeCells count="8">
    <mergeCell ref="I2:J2"/>
    <mergeCell ref="I3:J3"/>
    <mergeCell ref="G3:H3"/>
    <mergeCell ref="E3:F3"/>
    <mergeCell ref="B3:C3"/>
    <mergeCell ref="B2:C2"/>
    <mergeCell ref="E2:F2"/>
    <mergeCell ref="G2:H2"/>
  </mergeCells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F157B-A48D-4DD9-AFAA-E5359A28C5A2}">
  <dimension ref="A2:P64"/>
  <sheetViews>
    <sheetView zoomScale="70" zoomScaleNormal="70" workbookViewId="0">
      <selection activeCell="I4" sqref="I4"/>
    </sheetView>
  </sheetViews>
  <sheetFormatPr defaultRowHeight="17.399999999999999" x14ac:dyDescent="0.4"/>
  <cols>
    <col min="1" max="1" width="34" bestFit="1" customWidth="1"/>
    <col min="2" max="2" width="12.69921875" bestFit="1" customWidth="1"/>
    <col min="3" max="3" width="13.8984375" bestFit="1" customWidth="1"/>
    <col min="4" max="4" width="35" bestFit="1" customWidth="1"/>
    <col min="5" max="5" width="13.69921875" bestFit="1" customWidth="1"/>
    <col min="6" max="6" width="14.8984375" bestFit="1" customWidth="1"/>
    <col min="7" max="7" width="13.69921875" bestFit="1" customWidth="1"/>
    <col min="8" max="8" width="14.8984375" bestFit="1" customWidth="1"/>
    <col min="9" max="9" width="13.69921875" bestFit="1" customWidth="1"/>
    <col min="10" max="10" width="14.8984375" bestFit="1" customWidth="1"/>
    <col min="13" max="16" width="15.5" customWidth="1"/>
  </cols>
  <sheetData>
    <row r="2" spans="1:16" x14ac:dyDescent="0.4">
      <c r="B2" s="127">
        <v>2022</v>
      </c>
      <c r="C2" s="127"/>
      <c r="E2" s="127">
        <v>2023</v>
      </c>
      <c r="F2" s="127"/>
      <c r="G2" s="127">
        <v>2024</v>
      </c>
      <c r="H2" s="127"/>
      <c r="I2" s="127">
        <v>2025</v>
      </c>
      <c r="J2" s="127"/>
      <c r="O2" s="22" t="s">
        <v>50</v>
      </c>
      <c r="P2" s="22" t="s">
        <v>50</v>
      </c>
    </row>
    <row r="3" spans="1:16" x14ac:dyDescent="0.4">
      <c r="A3" s="74" t="s">
        <v>297</v>
      </c>
      <c r="B3" s="131" t="s">
        <v>296</v>
      </c>
      <c r="C3" s="132"/>
      <c r="D3" s="11" t="s">
        <v>54</v>
      </c>
      <c r="E3" s="128" t="s">
        <v>236</v>
      </c>
      <c r="F3" s="129"/>
      <c r="G3" s="128" t="s">
        <v>235</v>
      </c>
      <c r="H3" s="130"/>
      <c r="I3" s="128" t="s">
        <v>428</v>
      </c>
      <c r="J3" s="130"/>
      <c r="L3" s="20" t="s">
        <v>49</v>
      </c>
      <c r="M3" s="21">
        <v>2022</v>
      </c>
      <c r="N3" s="21">
        <v>2023</v>
      </c>
      <c r="O3" s="21">
        <v>2024</v>
      </c>
      <c r="P3" s="21">
        <v>2025</v>
      </c>
    </row>
    <row r="4" spans="1:16" x14ac:dyDescent="0.4">
      <c r="A4" s="95" t="s">
        <v>237</v>
      </c>
      <c r="B4" s="53"/>
      <c r="C4" s="54">
        <v>10233457170</v>
      </c>
      <c r="D4" s="51" t="s">
        <v>237</v>
      </c>
      <c r="E4" s="55"/>
      <c r="F4" s="56">
        <v>15559485549</v>
      </c>
      <c r="G4" s="55"/>
      <c r="H4" s="76">
        <v>19997147608</v>
      </c>
      <c r="I4" s="55"/>
      <c r="J4" s="76">
        <v>30091251590</v>
      </c>
      <c r="L4" s="72" t="s">
        <v>233</v>
      </c>
      <c r="M4" s="73">
        <f>C4-((B9-20000000)/2)</f>
        <v>9857065924</v>
      </c>
      <c r="N4" s="73">
        <f>+F4-(E8/2)</f>
        <v>14642290344.5</v>
      </c>
      <c r="O4" s="73">
        <f>H4-(G8/2)</f>
        <v>17299997478.5</v>
      </c>
      <c r="P4" s="73">
        <f>J4-(I8/2)</f>
        <v>25507803025.5</v>
      </c>
    </row>
    <row r="5" spans="1:16" x14ac:dyDescent="0.4">
      <c r="A5" s="91" t="s">
        <v>238</v>
      </c>
      <c r="B5" s="47"/>
      <c r="C5" s="48">
        <v>65000000</v>
      </c>
      <c r="D5" s="34" t="s">
        <v>238</v>
      </c>
      <c r="E5" s="32"/>
      <c r="F5" s="36" t="s">
        <v>71</v>
      </c>
      <c r="G5" s="32"/>
      <c r="H5" s="32" t="s">
        <v>71</v>
      </c>
      <c r="I5" s="32"/>
      <c r="J5" s="33">
        <v>654040000</v>
      </c>
      <c r="L5" s="28" t="s">
        <v>46</v>
      </c>
      <c r="M5" s="29">
        <f>C50</f>
        <v>2507822021</v>
      </c>
      <c r="N5" s="29">
        <f>F51</f>
        <v>3318567354</v>
      </c>
      <c r="O5" s="29">
        <f>H51</f>
        <v>6724939169</v>
      </c>
      <c r="P5" s="29">
        <f>J51</f>
        <v>14584158783</v>
      </c>
    </row>
    <row r="6" spans="1:16" x14ac:dyDescent="0.4">
      <c r="A6" s="92" t="s">
        <v>298</v>
      </c>
      <c r="B6" s="45">
        <v>65000000</v>
      </c>
      <c r="C6" s="46"/>
      <c r="D6" s="34" t="s">
        <v>239</v>
      </c>
      <c r="E6" s="32"/>
      <c r="F6" s="35">
        <v>14991452717</v>
      </c>
      <c r="G6" s="32"/>
      <c r="H6" s="33">
        <v>19438931720</v>
      </c>
      <c r="I6" s="32"/>
      <c r="J6" s="33">
        <v>28983507951</v>
      </c>
      <c r="L6" s="26" t="s">
        <v>47</v>
      </c>
      <c r="M6" s="27">
        <f>C62</f>
        <v>1925162923</v>
      </c>
      <c r="N6" s="27">
        <f>F62</f>
        <v>2812002002</v>
      </c>
      <c r="O6" s="27">
        <f>H62</f>
        <v>5872859173</v>
      </c>
      <c r="P6" s="27">
        <f>J62</f>
        <v>11467157439</v>
      </c>
    </row>
    <row r="7" spans="1:16" x14ac:dyDescent="0.4">
      <c r="A7" s="91" t="s">
        <v>239</v>
      </c>
      <c r="B7" s="47"/>
      <c r="C7" s="48">
        <v>10066863459</v>
      </c>
      <c r="D7" s="87" t="s">
        <v>240</v>
      </c>
      <c r="E7" s="33">
        <v>9060214775</v>
      </c>
      <c r="F7" s="36"/>
      <c r="G7" s="33">
        <v>8905516364</v>
      </c>
      <c r="H7" s="32"/>
      <c r="I7" s="33">
        <v>8540342153</v>
      </c>
      <c r="J7" s="32"/>
    </row>
    <row r="8" spans="1:16" x14ac:dyDescent="0.4">
      <c r="A8" s="93" t="s">
        <v>240</v>
      </c>
      <c r="B8" s="45">
        <v>6517827584</v>
      </c>
      <c r="C8" s="46"/>
      <c r="D8" s="98" t="s">
        <v>241</v>
      </c>
      <c r="E8" s="76">
        <v>1834390409</v>
      </c>
      <c r="F8" s="71"/>
      <c r="G8" s="76">
        <v>5394300259</v>
      </c>
      <c r="H8" s="55"/>
      <c r="I8" s="76">
        <v>9166897129</v>
      </c>
      <c r="J8" s="55"/>
    </row>
    <row r="9" spans="1:16" x14ac:dyDescent="0.4">
      <c r="A9" s="96" t="s">
        <v>241</v>
      </c>
      <c r="B9" s="97">
        <v>772782492</v>
      </c>
      <c r="C9" s="70"/>
      <c r="D9" s="34" t="s">
        <v>242</v>
      </c>
      <c r="E9" s="33">
        <v>4833333</v>
      </c>
      <c r="F9" s="36"/>
      <c r="G9" s="32">
        <v>737</v>
      </c>
      <c r="H9" s="32"/>
      <c r="I9" s="32"/>
      <c r="J9" s="32"/>
      <c r="L9" t="s">
        <v>48</v>
      </c>
      <c r="O9" s="22" t="s">
        <v>51</v>
      </c>
      <c r="P9" s="22" t="s">
        <v>51</v>
      </c>
    </row>
    <row r="10" spans="1:16" x14ac:dyDescent="0.4">
      <c r="A10" s="92" t="s">
        <v>242</v>
      </c>
      <c r="B10" s="47" t="s">
        <v>71</v>
      </c>
      <c r="C10" s="46"/>
      <c r="D10" s="87" t="s">
        <v>243</v>
      </c>
      <c r="E10" s="33">
        <v>4092014200</v>
      </c>
      <c r="F10" s="36"/>
      <c r="G10" s="33">
        <v>5139114360</v>
      </c>
      <c r="H10" s="32"/>
      <c r="I10" s="33"/>
      <c r="J10" s="32"/>
      <c r="L10" s="20" t="s">
        <v>49</v>
      </c>
      <c r="M10" s="21">
        <v>2022</v>
      </c>
      <c r="N10" s="21">
        <v>2023</v>
      </c>
      <c r="O10" s="21">
        <v>2024</v>
      </c>
      <c r="P10" s="21">
        <v>2025</v>
      </c>
    </row>
    <row r="11" spans="1:16" x14ac:dyDescent="0.4">
      <c r="A11" s="93" t="s">
        <v>243</v>
      </c>
      <c r="B11" s="45">
        <v>2776253383</v>
      </c>
      <c r="C11" s="46"/>
      <c r="D11" s="34" t="s">
        <v>244</v>
      </c>
      <c r="E11" s="32"/>
      <c r="F11" s="36" t="s">
        <v>71</v>
      </c>
      <c r="G11" s="32"/>
      <c r="H11" s="33">
        <v>31615</v>
      </c>
      <c r="I11" s="32"/>
      <c r="J11" s="33"/>
      <c r="L11" s="72" t="s">
        <v>233</v>
      </c>
      <c r="M11" s="73">
        <f t="shared" ref="M11:O13" si="0">M4/1000000</f>
        <v>9857.0659240000005</v>
      </c>
      <c r="N11" s="73">
        <f t="shared" si="0"/>
        <v>14642.290344499999</v>
      </c>
      <c r="O11" s="73">
        <f t="shared" si="0"/>
        <v>17299.997478500001</v>
      </c>
      <c r="P11" s="73">
        <f t="shared" ref="P11" si="1">P4/1000000</f>
        <v>25507.803025500001</v>
      </c>
    </row>
    <row r="12" spans="1:16" x14ac:dyDescent="0.4">
      <c r="A12" s="91" t="s">
        <v>244</v>
      </c>
      <c r="B12" s="47"/>
      <c r="C12" s="48">
        <v>14359250</v>
      </c>
      <c r="D12" s="87" t="s">
        <v>245</v>
      </c>
      <c r="E12" s="32" t="s">
        <v>71</v>
      </c>
      <c r="F12" s="36"/>
      <c r="G12" s="32">
        <v>317</v>
      </c>
      <c r="H12" s="32"/>
      <c r="I12" s="32"/>
      <c r="J12" s="32"/>
      <c r="L12" s="28" t="s">
        <v>46</v>
      </c>
      <c r="M12" s="29">
        <f t="shared" si="0"/>
        <v>2507.8220209999999</v>
      </c>
      <c r="N12" s="29">
        <f t="shared" si="0"/>
        <v>3318.5673539999998</v>
      </c>
      <c r="O12" s="29">
        <f t="shared" si="0"/>
        <v>6724.9391690000002</v>
      </c>
      <c r="P12" s="29">
        <f t="shared" ref="P12" si="2">P5/1000000</f>
        <v>14584.158783000001</v>
      </c>
    </row>
    <row r="13" spans="1:16" x14ac:dyDescent="0.4">
      <c r="A13" s="93" t="s">
        <v>245</v>
      </c>
      <c r="B13" s="45">
        <v>14359250</v>
      </c>
      <c r="C13" s="46"/>
      <c r="D13" s="87" t="s">
        <v>246</v>
      </c>
      <c r="E13" s="32" t="s">
        <v>71</v>
      </c>
      <c r="F13" s="36"/>
      <c r="G13" s="33">
        <v>31298</v>
      </c>
      <c r="H13" s="32"/>
      <c r="I13" s="33"/>
      <c r="J13" s="32"/>
      <c r="L13" s="26" t="s">
        <v>47</v>
      </c>
      <c r="M13" s="27">
        <f t="shared" si="0"/>
        <v>1925.1629230000001</v>
      </c>
      <c r="N13" s="27">
        <f t="shared" si="0"/>
        <v>2812.0020020000002</v>
      </c>
      <c r="O13" s="27">
        <f t="shared" si="0"/>
        <v>5872.8591729999998</v>
      </c>
      <c r="P13" s="27">
        <f t="shared" ref="P13" si="3">P6/1000000</f>
        <v>11467.157439000001</v>
      </c>
    </row>
    <row r="14" spans="1:16" x14ac:dyDescent="0.4">
      <c r="A14" s="91" t="s">
        <v>247</v>
      </c>
      <c r="B14" s="47"/>
      <c r="C14" s="48">
        <v>87234461</v>
      </c>
      <c r="D14" s="34" t="s">
        <v>247</v>
      </c>
      <c r="E14" s="32"/>
      <c r="F14" s="35">
        <v>568032832</v>
      </c>
      <c r="G14" s="32"/>
      <c r="H14" s="33">
        <v>558184273</v>
      </c>
      <c r="I14" s="32"/>
      <c r="J14" s="33"/>
    </row>
    <row r="15" spans="1:16" x14ac:dyDescent="0.4">
      <c r="A15" s="93" t="s">
        <v>248</v>
      </c>
      <c r="B15" s="45">
        <v>87234461</v>
      </c>
      <c r="C15" s="46"/>
      <c r="D15" s="87" t="s">
        <v>248</v>
      </c>
      <c r="E15" s="33">
        <v>568032832</v>
      </c>
      <c r="F15" s="36"/>
      <c r="G15" s="33">
        <v>464167052</v>
      </c>
      <c r="H15" s="32"/>
      <c r="I15" s="33"/>
      <c r="J15" s="32"/>
    </row>
    <row r="16" spans="1:16" x14ac:dyDescent="0.4">
      <c r="A16" s="92" t="s">
        <v>250</v>
      </c>
      <c r="B16" s="47"/>
      <c r="C16" s="48">
        <v>7725635149</v>
      </c>
      <c r="D16" s="87" t="s">
        <v>249</v>
      </c>
      <c r="E16" s="32" t="s">
        <v>71</v>
      </c>
      <c r="F16" s="36"/>
      <c r="G16" s="33">
        <v>94017221</v>
      </c>
      <c r="H16" s="32"/>
      <c r="I16" s="33"/>
      <c r="J16" s="32"/>
      <c r="L16" t="s">
        <v>52</v>
      </c>
      <c r="O16" s="22" t="s">
        <v>53</v>
      </c>
      <c r="P16" s="22" t="s">
        <v>53</v>
      </c>
    </row>
    <row r="17" spans="1:16" x14ac:dyDescent="0.4">
      <c r="A17" s="91" t="s">
        <v>251</v>
      </c>
      <c r="B17" s="47"/>
      <c r="C17" s="48">
        <v>2629102635</v>
      </c>
      <c r="D17" s="34" t="s">
        <v>250</v>
      </c>
      <c r="E17" s="32"/>
      <c r="F17" s="35">
        <v>12240918195</v>
      </c>
      <c r="G17" s="32"/>
      <c r="H17" s="33">
        <v>13272208439</v>
      </c>
      <c r="I17" s="32"/>
      <c r="J17" s="33"/>
      <c r="L17" s="20" t="s">
        <v>49</v>
      </c>
      <c r="M17" s="21">
        <v>2022</v>
      </c>
      <c r="N17" s="21">
        <v>2023</v>
      </c>
      <c r="O17" s="21">
        <v>2024</v>
      </c>
      <c r="P17" s="21">
        <v>2025</v>
      </c>
    </row>
    <row r="18" spans="1:16" x14ac:dyDescent="0.4">
      <c r="A18" s="92" t="s">
        <v>252</v>
      </c>
      <c r="B18" s="47" t="s">
        <v>71</v>
      </c>
      <c r="C18" s="46"/>
      <c r="D18" s="34" t="s">
        <v>251</v>
      </c>
      <c r="E18" s="32"/>
      <c r="F18" s="35">
        <v>5099369413</v>
      </c>
      <c r="G18" s="32"/>
      <c r="H18" s="33">
        <v>3378480480</v>
      </c>
      <c r="I18" s="32"/>
      <c r="J18" s="33"/>
      <c r="L18" s="72" t="s">
        <v>233</v>
      </c>
      <c r="M18" s="73">
        <f t="shared" ref="M18:O20" si="4">M4/100000000</f>
        <v>98.570659239999998</v>
      </c>
      <c r="N18" s="73">
        <f t="shared" si="4"/>
        <v>146.422903445</v>
      </c>
      <c r="O18" s="73">
        <f t="shared" si="4"/>
        <v>172.99997478500001</v>
      </c>
      <c r="P18" s="73">
        <f t="shared" ref="P18" si="5">P4/100000000</f>
        <v>255.07803025499999</v>
      </c>
    </row>
    <row r="19" spans="1:16" x14ac:dyDescent="0.4">
      <c r="A19" s="92" t="s">
        <v>253</v>
      </c>
      <c r="B19" s="47" t="s">
        <v>71</v>
      </c>
      <c r="C19" s="46"/>
      <c r="D19" s="34" t="s">
        <v>252</v>
      </c>
      <c r="E19" s="33">
        <v>10000</v>
      </c>
      <c r="F19" s="36"/>
      <c r="G19" s="32" t="s">
        <v>71</v>
      </c>
      <c r="H19" s="32"/>
      <c r="I19" s="32"/>
      <c r="J19" s="32"/>
      <c r="L19" s="28" t="s">
        <v>46</v>
      </c>
      <c r="M19" s="29">
        <f t="shared" si="4"/>
        <v>25.078220210000001</v>
      </c>
      <c r="N19" s="29">
        <f t="shared" si="4"/>
        <v>33.185673540000003</v>
      </c>
      <c r="O19" s="29">
        <f t="shared" si="4"/>
        <v>67.249391689999996</v>
      </c>
      <c r="P19" s="29">
        <f t="shared" ref="P19" si="6">P5/100000000</f>
        <v>145.84158783000001</v>
      </c>
    </row>
    <row r="20" spans="1:16" x14ac:dyDescent="0.4">
      <c r="A20" s="92" t="s">
        <v>254</v>
      </c>
      <c r="B20" s="47" t="s">
        <v>71</v>
      </c>
      <c r="C20" s="46"/>
      <c r="D20" s="34" t="s">
        <v>253</v>
      </c>
      <c r="E20" s="33">
        <v>1000</v>
      </c>
      <c r="F20" s="36"/>
      <c r="G20" s="32" t="s">
        <v>71</v>
      </c>
      <c r="H20" s="32"/>
      <c r="I20" s="32"/>
      <c r="J20" s="32"/>
      <c r="L20" s="26" t="s">
        <v>47</v>
      </c>
      <c r="M20" s="27">
        <f t="shared" si="4"/>
        <v>19.251629229999999</v>
      </c>
      <c r="N20" s="27">
        <f t="shared" si="4"/>
        <v>28.120020019999998</v>
      </c>
      <c r="O20" s="27">
        <f t="shared" si="4"/>
        <v>58.728591729999998</v>
      </c>
      <c r="P20" s="27">
        <f t="shared" ref="P20" si="7">P6/100000000</f>
        <v>114.67157439</v>
      </c>
    </row>
    <row r="21" spans="1:16" x14ac:dyDescent="0.4">
      <c r="A21" s="93" t="s">
        <v>255</v>
      </c>
      <c r="B21" s="45">
        <v>2473985581</v>
      </c>
      <c r="C21" s="46"/>
      <c r="D21" s="34" t="s">
        <v>254</v>
      </c>
      <c r="E21" s="33">
        <v>1033111373</v>
      </c>
      <c r="F21" s="36"/>
      <c r="G21" s="33">
        <v>1077584019</v>
      </c>
      <c r="H21" s="32"/>
      <c r="I21" s="33"/>
      <c r="J21" s="32"/>
    </row>
    <row r="22" spans="1:16" x14ac:dyDescent="0.4">
      <c r="A22" s="93" t="s">
        <v>256</v>
      </c>
      <c r="B22" s="45">
        <v>117005690</v>
      </c>
      <c r="C22" s="46"/>
      <c r="D22" s="87" t="s">
        <v>255</v>
      </c>
      <c r="E22" s="33">
        <v>3837380406</v>
      </c>
      <c r="F22" s="36"/>
      <c r="G22" s="33">
        <v>2147358558</v>
      </c>
      <c r="H22" s="32"/>
      <c r="I22" s="33"/>
      <c r="J22" s="32"/>
      <c r="L22" s="50" t="s">
        <v>301</v>
      </c>
    </row>
    <row r="23" spans="1:16" x14ac:dyDescent="0.4">
      <c r="A23" s="93" t="s">
        <v>257</v>
      </c>
      <c r="B23" s="45">
        <v>38111364</v>
      </c>
      <c r="C23" s="46"/>
      <c r="D23" s="87" t="s">
        <v>256</v>
      </c>
      <c r="E23" s="33">
        <v>223483555</v>
      </c>
      <c r="F23" s="36"/>
      <c r="G23" s="33">
        <v>150429639</v>
      </c>
      <c r="H23" s="32"/>
      <c r="I23" s="33"/>
      <c r="J23" s="32"/>
    </row>
    <row r="24" spans="1:16" x14ac:dyDescent="0.4">
      <c r="A24" s="91" t="s">
        <v>259</v>
      </c>
      <c r="B24" s="47"/>
      <c r="C24" s="48">
        <v>17336280</v>
      </c>
      <c r="D24" s="87" t="s">
        <v>257</v>
      </c>
      <c r="E24" s="33">
        <v>5383079</v>
      </c>
      <c r="F24" s="36"/>
      <c r="G24" s="32">
        <v>852</v>
      </c>
      <c r="H24" s="32"/>
      <c r="I24" s="32"/>
      <c r="J24" s="32"/>
    </row>
    <row r="25" spans="1:16" x14ac:dyDescent="0.4">
      <c r="A25" s="92" t="s">
        <v>260</v>
      </c>
      <c r="B25" s="47" t="s">
        <v>71</v>
      </c>
      <c r="C25" s="46"/>
      <c r="D25" s="87" t="s">
        <v>258</v>
      </c>
      <c r="E25" s="32" t="s">
        <v>71</v>
      </c>
      <c r="F25" s="36"/>
      <c r="G25" s="33">
        <v>3107412</v>
      </c>
      <c r="H25" s="32"/>
      <c r="I25" s="33"/>
      <c r="J25" s="32"/>
    </row>
    <row r="26" spans="1:16" x14ac:dyDescent="0.4">
      <c r="A26" s="92" t="s">
        <v>261</v>
      </c>
      <c r="B26" s="45">
        <v>17336280</v>
      </c>
      <c r="C26" s="46"/>
      <c r="D26" s="34" t="s">
        <v>259</v>
      </c>
      <c r="E26" s="32"/>
      <c r="F26" s="35">
        <v>984502341</v>
      </c>
      <c r="G26" s="32"/>
      <c r="H26" s="32" t="s">
        <v>71</v>
      </c>
      <c r="I26" s="32"/>
      <c r="J26" s="32"/>
    </row>
    <row r="27" spans="1:16" x14ac:dyDescent="0.4">
      <c r="A27" s="91" t="s">
        <v>262</v>
      </c>
      <c r="B27" s="47"/>
      <c r="C27" s="48">
        <v>5079196234</v>
      </c>
      <c r="D27" s="34" t="s">
        <v>260</v>
      </c>
      <c r="E27" s="33">
        <v>911151096</v>
      </c>
      <c r="F27" s="36"/>
      <c r="G27" s="32" t="s">
        <v>71</v>
      </c>
      <c r="H27" s="32"/>
      <c r="I27" s="32"/>
      <c r="J27" s="32"/>
    </row>
    <row r="28" spans="1:16" x14ac:dyDescent="0.4">
      <c r="A28" s="93" t="s">
        <v>263</v>
      </c>
      <c r="B28" s="45">
        <v>2802665473</v>
      </c>
      <c r="C28" s="46"/>
      <c r="D28" s="34" t="s">
        <v>261</v>
      </c>
      <c r="E28" s="33">
        <v>73351245</v>
      </c>
      <c r="F28" s="36"/>
      <c r="G28" s="32" t="s">
        <v>71</v>
      </c>
      <c r="H28" s="32"/>
      <c r="I28" s="32"/>
      <c r="J28" s="32"/>
    </row>
    <row r="29" spans="1:16" x14ac:dyDescent="0.4">
      <c r="A29" s="93" t="s">
        <v>264</v>
      </c>
      <c r="B29" s="45">
        <v>283050000</v>
      </c>
      <c r="C29" s="46"/>
      <c r="D29" s="34" t="s">
        <v>262</v>
      </c>
      <c r="E29" s="32"/>
      <c r="F29" s="35">
        <v>6157046441</v>
      </c>
      <c r="G29" s="32"/>
      <c r="H29" s="33">
        <v>9893727959</v>
      </c>
      <c r="I29" s="32"/>
      <c r="J29" s="33">
        <v>12176740028</v>
      </c>
    </row>
    <row r="30" spans="1:16" x14ac:dyDescent="0.4">
      <c r="A30" s="93" t="s">
        <v>265</v>
      </c>
      <c r="B30" s="45">
        <v>399153580</v>
      </c>
      <c r="C30" s="46"/>
      <c r="D30" s="87" t="s">
        <v>263</v>
      </c>
      <c r="E30" s="33">
        <v>3843680097</v>
      </c>
      <c r="F30" s="36"/>
      <c r="G30" s="33">
        <v>6361794197</v>
      </c>
      <c r="H30" s="32"/>
      <c r="I30" s="33"/>
      <c r="J30" s="32"/>
    </row>
    <row r="31" spans="1:16" x14ac:dyDescent="0.4">
      <c r="A31" s="93" t="s">
        <v>266</v>
      </c>
      <c r="B31" s="45">
        <v>99862534</v>
      </c>
      <c r="C31" s="46"/>
      <c r="D31" s="87" t="s">
        <v>264</v>
      </c>
      <c r="E31" s="33">
        <v>312153250</v>
      </c>
      <c r="F31" s="36"/>
      <c r="G31" s="33">
        <v>394188548</v>
      </c>
      <c r="H31" s="32"/>
      <c r="I31" s="33"/>
      <c r="J31" s="32"/>
    </row>
    <row r="32" spans="1:16" x14ac:dyDescent="0.4">
      <c r="A32" s="93" t="s">
        <v>267</v>
      </c>
      <c r="B32" s="45">
        <v>213578583</v>
      </c>
      <c r="C32" s="46"/>
      <c r="D32" s="87" t="s">
        <v>265</v>
      </c>
      <c r="E32" s="33">
        <v>359118607</v>
      </c>
      <c r="F32" s="36"/>
      <c r="G32" s="33">
        <v>445580436</v>
      </c>
      <c r="H32" s="32"/>
      <c r="I32" s="33"/>
      <c r="J32" s="32"/>
    </row>
    <row r="33" spans="1:10" x14ac:dyDescent="0.4">
      <c r="A33" s="93" t="s">
        <v>268</v>
      </c>
      <c r="B33" s="45">
        <v>29823660</v>
      </c>
      <c r="C33" s="46"/>
      <c r="D33" s="87" t="s">
        <v>266</v>
      </c>
      <c r="E33" s="33">
        <v>56398510</v>
      </c>
      <c r="F33" s="36"/>
      <c r="G33" s="33">
        <v>140852328</v>
      </c>
      <c r="H33" s="32"/>
      <c r="I33" s="33"/>
      <c r="J33" s="32"/>
    </row>
    <row r="34" spans="1:10" x14ac:dyDescent="0.4">
      <c r="A34" s="93" t="s">
        <v>269</v>
      </c>
      <c r="B34" s="45">
        <v>139260298</v>
      </c>
      <c r="C34" s="46"/>
      <c r="D34" s="87" t="s">
        <v>267</v>
      </c>
      <c r="E34" s="33">
        <v>277102511</v>
      </c>
      <c r="F34" s="36"/>
      <c r="G34" s="33">
        <v>366008519</v>
      </c>
      <c r="H34" s="32"/>
      <c r="I34" s="33"/>
      <c r="J34" s="32"/>
    </row>
    <row r="35" spans="1:10" x14ac:dyDescent="0.4">
      <c r="A35" s="93" t="s">
        <v>270</v>
      </c>
      <c r="B35" s="45">
        <v>478343790</v>
      </c>
      <c r="C35" s="46"/>
      <c r="D35" s="87" t="s">
        <v>268</v>
      </c>
      <c r="E35" s="33">
        <v>33545726</v>
      </c>
      <c r="F35" s="36"/>
      <c r="G35" s="33">
        <v>36855609</v>
      </c>
      <c r="H35" s="32"/>
      <c r="I35" s="33"/>
      <c r="J35" s="32"/>
    </row>
    <row r="36" spans="1:10" x14ac:dyDescent="0.4">
      <c r="A36" s="93" t="s">
        <v>271</v>
      </c>
      <c r="B36" s="45">
        <v>123294195</v>
      </c>
      <c r="C36" s="46"/>
      <c r="D36" s="87" t="s">
        <v>269</v>
      </c>
      <c r="E36" s="33">
        <v>76619440</v>
      </c>
      <c r="F36" s="36"/>
      <c r="G36" s="33">
        <v>96405060</v>
      </c>
      <c r="H36" s="32"/>
      <c r="I36" s="33"/>
      <c r="J36" s="32"/>
    </row>
    <row r="37" spans="1:10" x14ac:dyDescent="0.4">
      <c r="A37" s="93" t="s">
        <v>272</v>
      </c>
      <c r="B37" s="45">
        <v>2503300</v>
      </c>
      <c r="C37" s="46"/>
      <c r="D37" s="87" t="s">
        <v>270</v>
      </c>
      <c r="E37" s="33">
        <v>485129114</v>
      </c>
      <c r="F37" s="36"/>
      <c r="G37" s="33">
        <v>894008280</v>
      </c>
      <c r="H37" s="32"/>
      <c r="I37" s="33"/>
      <c r="J37" s="32"/>
    </row>
    <row r="38" spans="1:10" x14ac:dyDescent="0.4">
      <c r="A38" s="93" t="s">
        <v>273</v>
      </c>
      <c r="B38" s="45">
        <v>22323000</v>
      </c>
      <c r="C38" s="46"/>
      <c r="D38" s="87" t="s">
        <v>271</v>
      </c>
      <c r="E38" s="33">
        <v>93531195</v>
      </c>
      <c r="F38" s="36"/>
      <c r="G38" s="33">
        <v>119376069</v>
      </c>
      <c r="H38" s="32"/>
      <c r="I38" s="33"/>
      <c r="J38" s="32"/>
    </row>
    <row r="39" spans="1:10" x14ac:dyDescent="0.4">
      <c r="A39" s="93" t="s">
        <v>274</v>
      </c>
      <c r="B39" s="45">
        <v>9360240</v>
      </c>
      <c r="C39" s="46"/>
      <c r="D39" s="87" t="s">
        <v>272</v>
      </c>
      <c r="E39" s="33">
        <v>2137300</v>
      </c>
      <c r="F39" s="36"/>
      <c r="G39" s="33">
        <v>2176200</v>
      </c>
      <c r="H39" s="32"/>
      <c r="I39" s="33"/>
      <c r="J39" s="32"/>
    </row>
    <row r="40" spans="1:10" x14ac:dyDescent="0.4">
      <c r="A40" s="93" t="s">
        <v>275</v>
      </c>
      <c r="B40" s="45">
        <v>11269137</v>
      </c>
      <c r="C40" s="46"/>
      <c r="D40" s="87" t="s">
        <v>273</v>
      </c>
      <c r="E40" s="33">
        <v>14121000</v>
      </c>
      <c r="F40" s="36"/>
      <c r="G40" s="33">
        <v>28727850</v>
      </c>
      <c r="H40" s="32"/>
      <c r="I40" s="33"/>
      <c r="J40" s="32"/>
    </row>
    <row r="41" spans="1:10" x14ac:dyDescent="0.4">
      <c r="A41" s="93" t="s">
        <v>299</v>
      </c>
      <c r="B41" s="45">
        <v>334584540</v>
      </c>
      <c r="C41" s="46"/>
      <c r="D41" s="87" t="s">
        <v>274</v>
      </c>
      <c r="E41" s="33">
        <v>3490780</v>
      </c>
      <c r="F41" s="36"/>
      <c r="G41" s="33">
        <v>6177680</v>
      </c>
      <c r="H41" s="32"/>
      <c r="I41" s="33"/>
      <c r="J41" s="32"/>
    </row>
    <row r="42" spans="1:10" x14ac:dyDescent="0.4">
      <c r="A42" s="93" t="s">
        <v>277</v>
      </c>
      <c r="B42" s="45">
        <v>39300000</v>
      </c>
      <c r="C42" s="46"/>
      <c r="D42" s="87" t="s">
        <v>275</v>
      </c>
      <c r="E42" s="33">
        <v>20595290</v>
      </c>
      <c r="F42" s="36"/>
      <c r="G42" s="33">
        <v>16600483</v>
      </c>
      <c r="H42" s="32"/>
      <c r="I42" s="33"/>
      <c r="J42" s="32"/>
    </row>
    <row r="43" spans="1:10" x14ac:dyDescent="0.4">
      <c r="A43" s="93" t="s">
        <v>278</v>
      </c>
      <c r="B43" s="45">
        <v>16331455</v>
      </c>
      <c r="C43" s="46"/>
      <c r="D43" s="87" t="s">
        <v>276</v>
      </c>
      <c r="E43" s="33">
        <v>425519132</v>
      </c>
      <c r="F43" s="36"/>
      <c r="G43" s="33">
        <v>628738162</v>
      </c>
      <c r="H43" s="32"/>
      <c r="I43" s="33"/>
      <c r="J43" s="32"/>
    </row>
    <row r="44" spans="1:10" x14ac:dyDescent="0.4">
      <c r="A44" s="93" t="s">
        <v>279</v>
      </c>
      <c r="B44" s="45">
        <v>15683692</v>
      </c>
      <c r="C44" s="46"/>
      <c r="D44" s="87" t="s">
        <v>277</v>
      </c>
      <c r="E44" s="33">
        <v>42400000</v>
      </c>
      <c r="F44" s="36"/>
      <c r="G44" s="33">
        <v>39800000</v>
      </c>
      <c r="H44" s="32"/>
      <c r="I44" s="33"/>
      <c r="J44" s="32"/>
    </row>
    <row r="45" spans="1:10" x14ac:dyDescent="0.4">
      <c r="A45" s="93" t="s">
        <v>280</v>
      </c>
      <c r="B45" s="45">
        <v>32636267</v>
      </c>
      <c r="C45" s="46"/>
      <c r="D45" s="87" t="s">
        <v>278</v>
      </c>
      <c r="E45" s="33">
        <v>16126202</v>
      </c>
      <c r="F45" s="36"/>
      <c r="G45" s="33">
        <v>68810868</v>
      </c>
      <c r="H45" s="32"/>
      <c r="I45" s="33"/>
      <c r="J45" s="32"/>
    </row>
    <row r="46" spans="1:10" x14ac:dyDescent="0.4">
      <c r="A46" s="93" t="s">
        <v>281</v>
      </c>
      <c r="B46" s="47" t="s">
        <v>71</v>
      </c>
      <c r="C46" s="46"/>
      <c r="D46" s="87" t="s">
        <v>279</v>
      </c>
      <c r="E46" s="33">
        <v>15683695</v>
      </c>
      <c r="F46" s="36"/>
      <c r="G46" s="33">
        <v>194817700</v>
      </c>
      <c r="H46" s="32"/>
      <c r="I46" s="33"/>
      <c r="J46" s="32"/>
    </row>
    <row r="47" spans="1:10" x14ac:dyDescent="0.4">
      <c r="A47" s="93" t="s">
        <v>282</v>
      </c>
      <c r="B47" s="45">
        <v>22140000</v>
      </c>
      <c r="C47" s="46"/>
      <c r="D47" s="87" t="s">
        <v>280</v>
      </c>
      <c r="E47" s="33">
        <v>34548800</v>
      </c>
      <c r="F47" s="36"/>
      <c r="G47" s="33">
        <v>31908800</v>
      </c>
      <c r="H47" s="32"/>
      <c r="I47" s="33"/>
      <c r="J47" s="32"/>
    </row>
    <row r="48" spans="1:10" x14ac:dyDescent="0.4">
      <c r="A48" s="93" t="s">
        <v>283</v>
      </c>
      <c r="B48" s="45">
        <v>4032490</v>
      </c>
      <c r="C48" s="46"/>
      <c r="D48" s="87" t="s">
        <v>281</v>
      </c>
      <c r="E48" s="33">
        <v>11435772</v>
      </c>
      <c r="F48" s="36"/>
      <c r="G48" s="33">
        <v>10811200</v>
      </c>
      <c r="H48" s="32"/>
      <c r="I48" s="33"/>
      <c r="J48" s="32"/>
    </row>
    <row r="49" spans="1:10" x14ac:dyDescent="0.4">
      <c r="A49" s="93"/>
      <c r="B49" s="45"/>
      <c r="C49" s="46"/>
      <c r="D49" s="87" t="s">
        <v>282</v>
      </c>
      <c r="E49" s="33">
        <v>29400000</v>
      </c>
      <c r="F49" s="36"/>
      <c r="G49" s="33">
        <v>7838600</v>
      </c>
      <c r="H49" s="32"/>
      <c r="I49" s="33"/>
      <c r="J49" s="32"/>
    </row>
    <row r="50" spans="1:10" x14ac:dyDescent="0.4">
      <c r="A50" s="90" t="s">
        <v>284</v>
      </c>
      <c r="B50" s="43"/>
      <c r="C50" s="44">
        <v>2507822021</v>
      </c>
      <c r="D50" s="87" t="s">
        <v>283</v>
      </c>
      <c r="E50" s="33">
        <v>4310020</v>
      </c>
      <c r="F50" s="36"/>
      <c r="G50" s="33">
        <v>2251370</v>
      </c>
      <c r="H50" s="32"/>
      <c r="I50" s="33"/>
      <c r="J50" s="32"/>
    </row>
    <row r="51" spans="1:10" x14ac:dyDescent="0.4">
      <c r="A51" s="92" t="s">
        <v>285</v>
      </c>
      <c r="B51" s="47"/>
      <c r="C51" s="48">
        <v>5201809</v>
      </c>
      <c r="D51" s="58" t="s">
        <v>284</v>
      </c>
      <c r="E51" s="60"/>
      <c r="F51" s="61">
        <v>3318567354</v>
      </c>
      <c r="G51" s="60"/>
      <c r="H51" s="75">
        <v>6724939169</v>
      </c>
      <c r="I51" s="60"/>
      <c r="J51" s="75">
        <v>14584158783</v>
      </c>
    </row>
    <row r="52" spans="1:10" x14ac:dyDescent="0.4">
      <c r="A52" s="93" t="s">
        <v>60</v>
      </c>
      <c r="B52" s="45">
        <v>4805569</v>
      </c>
      <c r="C52" s="46"/>
      <c r="D52" s="34" t="s">
        <v>285</v>
      </c>
      <c r="E52" s="32"/>
      <c r="F52" s="35">
        <v>7550074</v>
      </c>
      <c r="G52" s="32"/>
      <c r="H52" s="33">
        <v>5724670</v>
      </c>
      <c r="I52" s="32"/>
      <c r="J52" s="33"/>
    </row>
    <row r="53" spans="1:10" x14ac:dyDescent="0.4">
      <c r="A53" s="93" t="s">
        <v>286</v>
      </c>
      <c r="B53" s="45">
        <v>113182</v>
      </c>
      <c r="C53" s="46"/>
      <c r="D53" s="87" t="s">
        <v>60</v>
      </c>
      <c r="E53" s="33">
        <v>7495874</v>
      </c>
      <c r="F53" s="36"/>
      <c r="G53" s="33">
        <v>5598870</v>
      </c>
      <c r="H53" s="32"/>
      <c r="I53" s="33"/>
      <c r="J53" s="32"/>
    </row>
    <row r="54" spans="1:10" x14ac:dyDescent="0.4">
      <c r="A54" s="93" t="s">
        <v>287</v>
      </c>
      <c r="B54" s="45">
        <v>283058</v>
      </c>
      <c r="C54" s="46"/>
      <c r="D54" s="87" t="s">
        <v>286</v>
      </c>
      <c r="E54" s="33">
        <v>28000</v>
      </c>
      <c r="F54" s="36"/>
      <c r="G54" s="33">
        <v>99000</v>
      </c>
      <c r="H54" s="32"/>
      <c r="I54" s="33"/>
      <c r="J54" s="32"/>
    </row>
    <row r="55" spans="1:10" x14ac:dyDescent="0.4">
      <c r="A55" s="92" t="s">
        <v>288</v>
      </c>
      <c r="B55" s="47"/>
      <c r="C55" s="48">
        <v>100281475</v>
      </c>
      <c r="D55" s="87" t="s">
        <v>287</v>
      </c>
      <c r="E55" s="33">
        <v>26200</v>
      </c>
      <c r="F55" s="36"/>
      <c r="G55" s="33">
        <v>26800</v>
      </c>
      <c r="H55" s="32"/>
      <c r="I55" s="33"/>
      <c r="J55" s="32"/>
    </row>
    <row r="56" spans="1:10" x14ac:dyDescent="0.4">
      <c r="A56" s="93" t="s">
        <v>289</v>
      </c>
      <c r="B56" s="45">
        <v>34900</v>
      </c>
      <c r="C56" s="46"/>
      <c r="D56" s="34" t="s">
        <v>288</v>
      </c>
      <c r="E56" s="32"/>
      <c r="F56" s="35">
        <v>228046221</v>
      </c>
      <c r="G56" s="32"/>
      <c r="H56" s="33">
        <v>87379910</v>
      </c>
      <c r="I56" s="32"/>
      <c r="J56" s="33"/>
    </row>
    <row r="57" spans="1:10" x14ac:dyDescent="0.4">
      <c r="A57" s="93" t="s">
        <v>290</v>
      </c>
      <c r="B57" s="45">
        <v>100000000</v>
      </c>
      <c r="C57" s="46"/>
      <c r="D57" s="87" t="s">
        <v>289</v>
      </c>
      <c r="E57" s="32" t="s">
        <v>71</v>
      </c>
      <c r="F57" s="36"/>
      <c r="G57" s="33">
        <v>4000</v>
      </c>
      <c r="H57" s="32"/>
      <c r="I57" s="33"/>
      <c r="J57" s="32"/>
    </row>
    <row r="58" spans="1:10" x14ac:dyDescent="0.4">
      <c r="A58" s="93" t="s">
        <v>300</v>
      </c>
      <c r="B58" s="45">
        <v>246575</v>
      </c>
      <c r="C58" s="46"/>
      <c r="D58" s="87" t="s">
        <v>290</v>
      </c>
      <c r="E58" s="32" t="s">
        <v>71</v>
      </c>
      <c r="F58" s="36"/>
      <c r="G58" s="33">
        <v>5000000</v>
      </c>
      <c r="H58" s="32"/>
      <c r="I58" s="33"/>
      <c r="J58" s="32"/>
    </row>
    <row r="59" spans="1:10" x14ac:dyDescent="0.4">
      <c r="A59" s="92" t="s">
        <v>291</v>
      </c>
      <c r="B59" s="47" t="s">
        <v>71</v>
      </c>
      <c r="C59" s="46"/>
      <c r="D59" s="34" t="s">
        <v>291</v>
      </c>
      <c r="E59" s="33">
        <v>228046221</v>
      </c>
      <c r="F59" s="36"/>
      <c r="G59" s="33">
        <v>82375910</v>
      </c>
      <c r="H59" s="32"/>
      <c r="I59" s="33"/>
      <c r="J59" s="32"/>
    </row>
    <row r="60" spans="1:10" x14ac:dyDescent="0.4">
      <c r="A60" s="92" t="s">
        <v>134</v>
      </c>
      <c r="B60" s="47"/>
      <c r="C60" s="48">
        <v>2412742355</v>
      </c>
      <c r="D60" s="34" t="s">
        <v>134</v>
      </c>
      <c r="E60" s="32"/>
      <c r="F60" s="35">
        <v>3098071207</v>
      </c>
      <c r="G60" s="32"/>
      <c r="H60" s="33">
        <v>6643283929</v>
      </c>
      <c r="I60" s="32"/>
      <c r="J60" s="33"/>
    </row>
    <row r="61" spans="1:10" x14ac:dyDescent="0.4">
      <c r="A61" s="92" t="s">
        <v>292</v>
      </c>
      <c r="B61" s="47"/>
      <c r="C61" s="48">
        <v>487579432</v>
      </c>
      <c r="D61" s="34" t="s">
        <v>292</v>
      </c>
      <c r="E61" s="32"/>
      <c r="F61" s="35">
        <v>286069205</v>
      </c>
      <c r="G61" s="32"/>
      <c r="H61" s="33">
        <v>770424756</v>
      </c>
      <c r="I61" s="32"/>
      <c r="J61" s="33"/>
    </row>
    <row r="62" spans="1:10" x14ac:dyDescent="0.4">
      <c r="A62" s="99" t="s">
        <v>293</v>
      </c>
      <c r="B62" s="65"/>
      <c r="C62" s="66">
        <v>1925162923</v>
      </c>
      <c r="D62" s="63" t="s">
        <v>293</v>
      </c>
      <c r="E62" s="67"/>
      <c r="F62" s="68">
        <v>2812002002</v>
      </c>
      <c r="G62" s="67"/>
      <c r="H62" s="100">
        <v>5872859173</v>
      </c>
      <c r="I62" s="67"/>
      <c r="J62" s="100">
        <v>11467157439</v>
      </c>
    </row>
    <row r="63" spans="1:10" x14ac:dyDescent="0.4">
      <c r="A63" s="92" t="s">
        <v>294</v>
      </c>
      <c r="B63" s="47"/>
      <c r="C63" s="46"/>
      <c r="D63" s="34" t="s">
        <v>294</v>
      </c>
      <c r="E63" s="32"/>
      <c r="F63" s="36"/>
      <c r="G63" s="32"/>
      <c r="H63" s="32"/>
      <c r="I63" s="32"/>
      <c r="J63" s="32"/>
    </row>
    <row r="64" spans="1:10" x14ac:dyDescent="0.4">
      <c r="A64" s="94" t="s">
        <v>295</v>
      </c>
      <c r="B64" s="49"/>
      <c r="C64" s="89">
        <v>215</v>
      </c>
      <c r="D64" s="37" t="s">
        <v>295</v>
      </c>
      <c r="E64" s="40"/>
      <c r="F64" s="88">
        <v>237</v>
      </c>
      <c r="G64" s="40"/>
      <c r="H64" s="40">
        <v>496</v>
      </c>
      <c r="I64" s="40"/>
      <c r="J64" s="40"/>
    </row>
  </sheetData>
  <mergeCells count="8">
    <mergeCell ref="I2:J2"/>
    <mergeCell ref="I3:J3"/>
    <mergeCell ref="G3:H3"/>
    <mergeCell ref="E3:F3"/>
    <mergeCell ref="B3:C3"/>
    <mergeCell ref="B2:C2"/>
    <mergeCell ref="G2:H2"/>
    <mergeCell ref="E2:F2"/>
  </mergeCells>
  <phoneticPr fontId="3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3FFC5-6CC6-4376-96AC-E52B25F01EA5}">
  <dimension ref="A2:Q36"/>
  <sheetViews>
    <sheetView zoomScale="70" zoomScaleNormal="70" workbookViewId="0">
      <selection activeCell="M26" sqref="M26"/>
    </sheetView>
  </sheetViews>
  <sheetFormatPr defaultRowHeight="17.399999999999999" x14ac:dyDescent="0.4"/>
  <cols>
    <col min="1" max="1" width="48.09765625" bestFit="1" customWidth="1"/>
    <col min="2" max="2" width="6.69921875" bestFit="1" customWidth="1"/>
    <col min="3" max="3" width="14.59765625" bestFit="1" customWidth="1"/>
    <col min="4" max="4" width="15.5" bestFit="1" customWidth="1"/>
    <col min="5" max="5" width="13.69921875" bestFit="1" customWidth="1"/>
    <col min="6" max="6" width="14.8984375" bestFit="1" customWidth="1"/>
    <col min="7" max="7" width="13.69921875" bestFit="1" customWidth="1"/>
    <col min="8" max="8" width="14.8984375" bestFit="1" customWidth="1"/>
    <col min="9" max="9" width="13.69921875" bestFit="1" customWidth="1"/>
    <col min="10" max="10" width="14.8984375" bestFit="1" customWidth="1"/>
    <col min="13" max="16" width="15.5" customWidth="1"/>
  </cols>
  <sheetData>
    <row r="2" spans="1:17" x14ac:dyDescent="0.4">
      <c r="C2" s="127">
        <v>2022</v>
      </c>
      <c r="D2" s="127"/>
      <c r="E2" s="127">
        <v>2023</v>
      </c>
      <c r="F2" s="127"/>
      <c r="G2" s="127">
        <v>2024</v>
      </c>
      <c r="H2" s="127"/>
      <c r="I2" s="127">
        <v>2025</v>
      </c>
      <c r="J2" s="127"/>
      <c r="O2" s="22"/>
      <c r="P2" s="22" t="s">
        <v>50</v>
      </c>
    </row>
    <row r="3" spans="1:17" x14ac:dyDescent="0.4">
      <c r="A3" s="11" t="s">
        <v>302</v>
      </c>
      <c r="B3" s="10" t="s">
        <v>303</v>
      </c>
      <c r="C3" s="128" t="s">
        <v>328</v>
      </c>
      <c r="D3" s="129"/>
      <c r="E3" s="128" t="s">
        <v>305</v>
      </c>
      <c r="F3" s="129"/>
      <c r="G3" s="128" t="s">
        <v>304</v>
      </c>
      <c r="H3" s="130"/>
      <c r="I3" s="128" t="s">
        <v>420</v>
      </c>
      <c r="J3" s="130"/>
      <c r="L3" s="20" t="s">
        <v>49</v>
      </c>
      <c r="M3" s="21">
        <v>2022</v>
      </c>
      <c r="N3" s="21">
        <v>2023</v>
      </c>
      <c r="O3" s="21">
        <v>2024</v>
      </c>
      <c r="P3" s="21">
        <v>2025</v>
      </c>
    </row>
    <row r="4" spans="1:17" x14ac:dyDescent="0.4">
      <c r="A4" s="16" t="s">
        <v>77</v>
      </c>
      <c r="B4" s="52"/>
      <c r="C4" s="55"/>
      <c r="D4" s="56">
        <v>5331338169</v>
      </c>
      <c r="E4" s="103"/>
      <c r="F4" s="17">
        <v>12898710927</v>
      </c>
      <c r="G4" s="103"/>
      <c r="H4" s="18">
        <v>8500814660</v>
      </c>
      <c r="I4" s="103"/>
      <c r="J4" s="18">
        <v>7958643959</v>
      </c>
      <c r="L4" s="72" t="s">
        <v>44</v>
      </c>
      <c r="M4" s="73">
        <f>D4</f>
        <v>5331338169</v>
      </c>
      <c r="N4" s="73">
        <f>F4</f>
        <v>12898710927</v>
      </c>
      <c r="O4" s="73">
        <f>H4</f>
        <v>8500814660</v>
      </c>
      <c r="P4" s="73">
        <f>J4</f>
        <v>7958643959</v>
      </c>
    </row>
    <row r="5" spans="1:17" x14ac:dyDescent="0.4">
      <c r="A5" s="6" t="s">
        <v>306</v>
      </c>
      <c r="B5" s="30">
        <v>4</v>
      </c>
      <c r="C5" s="33">
        <v>146547290</v>
      </c>
      <c r="D5" s="36"/>
      <c r="E5" s="5">
        <v>756101126</v>
      </c>
      <c r="F5" s="7"/>
      <c r="G5" s="5">
        <v>667385393</v>
      </c>
      <c r="H5" s="8"/>
      <c r="I5" s="12"/>
      <c r="J5" s="8"/>
      <c r="L5" s="28" t="s">
        <v>46</v>
      </c>
      <c r="M5" s="29">
        <f>D17</f>
        <v>-12696755960</v>
      </c>
      <c r="N5" s="29">
        <f>F17</f>
        <v>5089168801</v>
      </c>
      <c r="O5" s="29">
        <f>H17</f>
        <v>-420649392</v>
      </c>
      <c r="P5" s="29">
        <f>+J17</f>
        <v>1200374774</v>
      </c>
      <c r="Q5" t="s">
        <v>423</v>
      </c>
    </row>
    <row r="6" spans="1:17" x14ac:dyDescent="0.4">
      <c r="A6" s="6" t="s">
        <v>307</v>
      </c>
      <c r="B6" s="30" t="s">
        <v>308</v>
      </c>
      <c r="C6" s="33">
        <v>70793080</v>
      </c>
      <c r="D6" s="36"/>
      <c r="E6" s="5">
        <v>676194820</v>
      </c>
      <c r="F6" s="7"/>
      <c r="G6" s="5">
        <v>786860935</v>
      </c>
      <c r="H6" s="8"/>
      <c r="I6" s="5"/>
      <c r="J6" s="8"/>
      <c r="L6" s="26" t="s">
        <v>47</v>
      </c>
      <c r="M6" s="27">
        <f>D22</f>
        <v>-11846037361</v>
      </c>
      <c r="N6" s="27">
        <f>F22</f>
        <v>5819063613</v>
      </c>
      <c r="O6" s="27">
        <f>H22</f>
        <v>-1858925084</v>
      </c>
      <c r="P6" s="27">
        <f>+J22</f>
        <v>508331940</v>
      </c>
      <c r="Q6" t="s">
        <v>424</v>
      </c>
    </row>
    <row r="7" spans="1:17" x14ac:dyDescent="0.4">
      <c r="A7" s="6" t="s">
        <v>309</v>
      </c>
      <c r="B7" s="30">
        <v>25</v>
      </c>
      <c r="C7" s="33">
        <v>3133013838</v>
      </c>
      <c r="D7" s="36"/>
      <c r="E7" s="5">
        <v>3598150036</v>
      </c>
      <c r="F7" s="7"/>
      <c r="G7" s="5">
        <v>3710459513</v>
      </c>
      <c r="H7" s="8"/>
      <c r="I7" s="5"/>
      <c r="J7" s="8"/>
      <c r="Q7" t="s">
        <v>425</v>
      </c>
    </row>
    <row r="8" spans="1:17" x14ac:dyDescent="0.4">
      <c r="A8" s="6" t="s">
        <v>310</v>
      </c>
      <c r="B8" s="30">
        <v>25</v>
      </c>
      <c r="C8" s="33">
        <v>1283958568</v>
      </c>
      <c r="D8" s="36"/>
      <c r="E8" s="5">
        <v>1225825593</v>
      </c>
      <c r="F8" s="7"/>
      <c r="G8" s="5">
        <v>178048712</v>
      </c>
      <c r="H8" s="8"/>
      <c r="I8" s="5"/>
      <c r="J8" s="8"/>
      <c r="Q8" t="s">
        <v>421</v>
      </c>
    </row>
    <row r="9" spans="1:17" x14ac:dyDescent="0.4">
      <c r="A9" s="6" t="s">
        <v>311</v>
      </c>
      <c r="B9" s="30">
        <v>9</v>
      </c>
      <c r="C9" s="33">
        <v>697025393</v>
      </c>
      <c r="D9" s="36"/>
      <c r="E9" s="5">
        <v>6642439352</v>
      </c>
      <c r="F9" s="7"/>
      <c r="G9" s="5">
        <v>3158060107</v>
      </c>
      <c r="H9" s="8"/>
      <c r="I9" s="5"/>
      <c r="J9" s="8"/>
      <c r="L9" t="s">
        <v>48</v>
      </c>
      <c r="O9" s="22"/>
      <c r="P9" s="22" t="s">
        <v>51</v>
      </c>
      <c r="Q9" t="s">
        <v>422</v>
      </c>
    </row>
    <row r="10" spans="1:17" x14ac:dyDescent="0.4">
      <c r="A10" s="6" t="s">
        <v>101</v>
      </c>
      <c r="B10" s="30"/>
      <c r="C10" s="32"/>
      <c r="D10" s="35">
        <v>18028094129</v>
      </c>
      <c r="E10" s="8"/>
      <c r="F10" s="4">
        <v>7809542126</v>
      </c>
      <c r="G10" s="8"/>
      <c r="H10" s="5">
        <v>8921464052</v>
      </c>
      <c r="I10" s="8"/>
      <c r="J10" s="5">
        <v>6758269185</v>
      </c>
      <c r="L10" s="20" t="s">
        <v>49</v>
      </c>
      <c r="M10" s="21">
        <v>2022</v>
      </c>
      <c r="N10" s="21">
        <v>2023</v>
      </c>
      <c r="O10" s="21">
        <v>2024</v>
      </c>
      <c r="P10" s="21">
        <v>2025</v>
      </c>
    </row>
    <row r="11" spans="1:17" x14ac:dyDescent="0.4">
      <c r="A11" s="6" t="s">
        <v>312</v>
      </c>
      <c r="B11" s="30" t="s">
        <v>308</v>
      </c>
      <c r="C11" s="33">
        <v>62448176</v>
      </c>
      <c r="D11" s="36"/>
      <c r="E11" s="5">
        <v>623031150</v>
      </c>
      <c r="F11" s="7"/>
      <c r="G11" s="5">
        <v>272641300</v>
      </c>
      <c r="H11" s="8"/>
      <c r="I11" s="5"/>
      <c r="J11" s="8"/>
      <c r="L11" s="72" t="s">
        <v>44</v>
      </c>
      <c r="M11" s="73">
        <f t="shared" ref="M11:O13" si="0">M4/1000000</f>
        <v>5331.3381689999997</v>
      </c>
      <c r="N11" s="73">
        <f t="shared" si="0"/>
        <v>12898.710927</v>
      </c>
      <c r="O11" s="73">
        <f t="shared" si="0"/>
        <v>8500.81466</v>
      </c>
      <c r="P11" s="73">
        <f t="shared" ref="P11" si="1">P4/1000000</f>
        <v>7958.643959</v>
      </c>
    </row>
    <row r="12" spans="1:17" x14ac:dyDescent="0.4">
      <c r="A12" s="6" t="s">
        <v>313</v>
      </c>
      <c r="B12" s="30">
        <v>9</v>
      </c>
      <c r="C12" s="33">
        <v>1462702560</v>
      </c>
      <c r="D12" s="36"/>
      <c r="E12" s="5">
        <v>2683778175</v>
      </c>
      <c r="F12" s="7"/>
      <c r="G12" s="5">
        <v>4834406583</v>
      </c>
      <c r="H12" s="8"/>
      <c r="I12" s="5"/>
      <c r="J12" s="8"/>
      <c r="L12" s="28" t="s">
        <v>46</v>
      </c>
      <c r="M12" s="29">
        <f t="shared" si="0"/>
        <v>-12696.75596</v>
      </c>
      <c r="N12" s="29">
        <f t="shared" si="0"/>
        <v>5089.1688009999998</v>
      </c>
      <c r="O12" s="29">
        <f t="shared" si="0"/>
        <v>-420.64939199999998</v>
      </c>
      <c r="P12" s="29">
        <f t="shared" ref="P12" si="2">P5/1000000</f>
        <v>1200.3747739999999</v>
      </c>
    </row>
    <row r="13" spans="1:17" x14ac:dyDescent="0.4">
      <c r="A13" s="6" t="s">
        <v>314</v>
      </c>
      <c r="B13" s="30">
        <v>9</v>
      </c>
      <c r="C13" s="33">
        <v>13027816866</v>
      </c>
      <c r="D13" s="36"/>
      <c r="E13" s="5">
        <v>284711</v>
      </c>
      <c r="F13" s="7"/>
      <c r="G13" s="5">
        <v>48377608</v>
      </c>
      <c r="H13" s="8"/>
      <c r="I13" s="5"/>
      <c r="J13" s="8"/>
      <c r="L13" s="26" t="s">
        <v>47</v>
      </c>
      <c r="M13" s="27">
        <f t="shared" si="0"/>
        <v>-11846.037361000001</v>
      </c>
      <c r="N13" s="27">
        <f t="shared" si="0"/>
        <v>5819.0636130000003</v>
      </c>
      <c r="O13" s="27">
        <f t="shared" si="0"/>
        <v>-1858.925084</v>
      </c>
      <c r="P13" s="27">
        <f t="shared" ref="P13" si="3">P6/1000000</f>
        <v>508.33193999999997</v>
      </c>
    </row>
    <row r="14" spans="1:17" x14ac:dyDescent="0.4">
      <c r="A14" s="6" t="s">
        <v>315</v>
      </c>
      <c r="B14" s="30">
        <v>9</v>
      </c>
      <c r="C14" s="33">
        <v>87607191</v>
      </c>
      <c r="D14" s="36"/>
      <c r="E14" s="5">
        <v>961717620</v>
      </c>
      <c r="F14" s="7"/>
      <c r="G14" s="8" t="s">
        <v>71</v>
      </c>
      <c r="H14" s="8"/>
      <c r="I14" s="8"/>
      <c r="J14" s="8"/>
    </row>
    <row r="15" spans="1:17" x14ac:dyDescent="0.4">
      <c r="A15" s="6" t="s">
        <v>316</v>
      </c>
      <c r="B15" s="30">
        <v>9</v>
      </c>
      <c r="C15" s="32" t="s">
        <v>71</v>
      </c>
      <c r="D15" s="36"/>
      <c r="E15" s="5">
        <v>9990494</v>
      </c>
      <c r="F15" s="7"/>
      <c r="G15" s="5">
        <v>87818382</v>
      </c>
      <c r="H15" s="8"/>
      <c r="I15" s="5"/>
      <c r="J15" s="8"/>
    </row>
    <row r="16" spans="1:17" x14ac:dyDescent="0.4">
      <c r="A16" s="6" t="s">
        <v>317</v>
      </c>
      <c r="B16" s="30">
        <v>21</v>
      </c>
      <c r="C16" s="33">
        <v>3387519336</v>
      </c>
      <c r="D16" s="36"/>
      <c r="E16" s="5">
        <v>3530739976</v>
      </c>
      <c r="F16" s="7"/>
      <c r="G16" s="5">
        <v>3678220179</v>
      </c>
      <c r="H16" s="8"/>
      <c r="I16" s="5"/>
      <c r="J16" s="8"/>
      <c r="L16" t="s">
        <v>52</v>
      </c>
      <c r="O16" s="22"/>
      <c r="P16" s="22" t="s">
        <v>53</v>
      </c>
    </row>
    <row r="17" spans="1:16" x14ac:dyDescent="0.4">
      <c r="A17" s="13" t="s">
        <v>318</v>
      </c>
      <c r="B17" s="59"/>
      <c r="C17" s="60"/>
      <c r="D17" s="61">
        <v>-12696755960</v>
      </c>
      <c r="E17" s="104"/>
      <c r="F17" s="14">
        <v>5089168801</v>
      </c>
      <c r="G17" s="104"/>
      <c r="H17" s="15">
        <v>-420649392</v>
      </c>
      <c r="I17" s="104"/>
      <c r="J17" s="15">
        <v>1200374774</v>
      </c>
      <c r="L17" s="20" t="s">
        <v>49</v>
      </c>
      <c r="M17" s="21">
        <v>2022</v>
      </c>
      <c r="N17" s="21">
        <v>2023</v>
      </c>
      <c r="O17" s="21">
        <v>2024</v>
      </c>
      <c r="P17" s="21">
        <v>2025</v>
      </c>
    </row>
    <row r="18" spans="1:16" x14ac:dyDescent="0.4">
      <c r="A18" s="6" t="s">
        <v>123</v>
      </c>
      <c r="B18" s="30">
        <v>21</v>
      </c>
      <c r="C18" s="32"/>
      <c r="D18" s="35">
        <v>2119940</v>
      </c>
      <c r="E18" s="8"/>
      <c r="F18" s="4">
        <v>12467905</v>
      </c>
      <c r="G18" s="8"/>
      <c r="H18" s="5">
        <v>69644484</v>
      </c>
      <c r="I18" s="8"/>
      <c r="J18" s="5"/>
      <c r="L18" s="72" t="s">
        <v>44</v>
      </c>
      <c r="M18" s="73">
        <f t="shared" ref="M18:O20" si="4">M4/100000000</f>
        <v>53.31338169</v>
      </c>
      <c r="N18" s="73">
        <f t="shared" si="4"/>
        <v>128.98710926999999</v>
      </c>
      <c r="O18" s="73">
        <f t="shared" si="4"/>
        <v>85.008146600000003</v>
      </c>
      <c r="P18" s="73">
        <f t="shared" ref="P18" si="5">P4/100000000</f>
        <v>79.586439589999998</v>
      </c>
    </row>
    <row r="19" spans="1:16" x14ac:dyDescent="0.4">
      <c r="A19" s="6" t="s">
        <v>128</v>
      </c>
      <c r="B19" s="30">
        <v>21</v>
      </c>
      <c r="C19" s="32"/>
      <c r="D19" s="35">
        <v>2885087</v>
      </c>
      <c r="E19" s="8"/>
      <c r="F19" s="4">
        <v>78712233</v>
      </c>
      <c r="G19" s="8"/>
      <c r="H19" s="5">
        <v>34152385</v>
      </c>
      <c r="I19" s="8"/>
      <c r="J19" s="5"/>
      <c r="L19" s="28" t="s">
        <v>46</v>
      </c>
      <c r="M19" s="29">
        <f t="shared" si="4"/>
        <v>-126.9675596</v>
      </c>
      <c r="N19" s="29">
        <f t="shared" si="4"/>
        <v>50.891688010000003</v>
      </c>
      <c r="O19" s="29">
        <f t="shared" si="4"/>
        <v>-4.2064939199999998</v>
      </c>
      <c r="P19" s="29">
        <f t="shared" ref="P19" si="6">P5/100000000</f>
        <v>12.00374774</v>
      </c>
    </row>
    <row r="20" spans="1:16" x14ac:dyDescent="0.4">
      <c r="A20" s="6" t="s">
        <v>319</v>
      </c>
      <c r="B20" s="30"/>
      <c r="C20" s="32"/>
      <c r="D20" s="35">
        <v>-12697521107</v>
      </c>
      <c r="E20" s="8"/>
      <c r="F20" s="4">
        <v>5022924473</v>
      </c>
      <c r="G20" s="8"/>
      <c r="H20" s="5">
        <v>-385157293</v>
      </c>
      <c r="I20" s="8"/>
      <c r="J20" s="5"/>
      <c r="L20" s="26" t="s">
        <v>47</v>
      </c>
      <c r="M20" s="27">
        <f t="shared" si="4"/>
        <v>-118.46037361</v>
      </c>
      <c r="N20" s="27">
        <f t="shared" si="4"/>
        <v>58.190636130000001</v>
      </c>
      <c r="O20" s="27">
        <f t="shared" si="4"/>
        <v>-18.589250839999998</v>
      </c>
      <c r="P20" s="27">
        <f t="shared" ref="P20" si="7">P6/100000000</f>
        <v>5.0833193999999997</v>
      </c>
    </row>
    <row r="21" spans="1:16" x14ac:dyDescent="0.4">
      <c r="A21" s="6" t="s">
        <v>320</v>
      </c>
      <c r="B21" s="30">
        <v>22</v>
      </c>
      <c r="C21" s="32"/>
      <c r="D21" s="35">
        <v>-851483746</v>
      </c>
      <c r="E21" s="8"/>
      <c r="F21" s="4">
        <v>-796139140</v>
      </c>
      <c r="G21" s="8"/>
      <c r="H21" s="5">
        <v>1473767791</v>
      </c>
      <c r="I21" s="8"/>
      <c r="J21" s="5"/>
    </row>
    <row r="22" spans="1:16" x14ac:dyDescent="0.4">
      <c r="A22" s="23" t="s">
        <v>321</v>
      </c>
      <c r="B22" s="64"/>
      <c r="C22" s="67"/>
      <c r="D22" s="68">
        <v>-11846037361</v>
      </c>
      <c r="E22" s="105"/>
      <c r="F22" s="24">
        <v>5819063613</v>
      </c>
      <c r="G22" s="105"/>
      <c r="H22" s="25">
        <v>-1858925084</v>
      </c>
      <c r="I22" s="105"/>
      <c r="J22" s="25">
        <v>508331940</v>
      </c>
    </row>
    <row r="23" spans="1:16" x14ac:dyDescent="0.4">
      <c r="A23" s="6" t="s">
        <v>322</v>
      </c>
      <c r="B23" s="30"/>
      <c r="C23" s="32"/>
      <c r="D23" s="35">
        <v>31709698</v>
      </c>
      <c r="E23" s="8"/>
      <c r="F23" s="4">
        <v>-39776100</v>
      </c>
      <c r="G23" s="8"/>
      <c r="H23" s="5">
        <v>-37724329</v>
      </c>
      <c r="I23" s="8"/>
      <c r="J23" s="5"/>
    </row>
    <row r="24" spans="1:16" x14ac:dyDescent="0.4">
      <c r="A24" s="6" t="s">
        <v>323</v>
      </c>
      <c r="B24" s="30"/>
      <c r="C24" s="8"/>
      <c r="D24" s="4">
        <v>31709698</v>
      </c>
      <c r="E24" s="8"/>
      <c r="F24" s="4">
        <v>-39776100</v>
      </c>
      <c r="G24" s="8"/>
      <c r="H24" s="5">
        <v>-37724329</v>
      </c>
      <c r="I24" s="8"/>
      <c r="J24" s="5"/>
    </row>
    <row r="25" spans="1:16" x14ac:dyDescent="0.4">
      <c r="A25" s="6" t="s">
        <v>324</v>
      </c>
      <c r="B25" s="30"/>
      <c r="C25" s="33">
        <v>31709698</v>
      </c>
      <c r="D25" s="36"/>
      <c r="E25" s="5">
        <v>-39776100</v>
      </c>
      <c r="F25" s="7"/>
      <c r="G25" s="5">
        <v>-37724329</v>
      </c>
      <c r="H25" s="8"/>
      <c r="I25" s="5"/>
      <c r="J25" s="8"/>
    </row>
    <row r="26" spans="1:16" x14ac:dyDescent="0.4">
      <c r="A26" s="6" t="s">
        <v>325</v>
      </c>
      <c r="B26" s="30"/>
      <c r="C26" s="32"/>
      <c r="D26" s="35">
        <v>-11814327663</v>
      </c>
      <c r="E26" s="8"/>
      <c r="F26" s="4">
        <v>5779287513</v>
      </c>
      <c r="G26" s="8"/>
      <c r="H26" s="5">
        <v>-1896649413</v>
      </c>
      <c r="I26" s="8"/>
      <c r="J26" s="5"/>
    </row>
    <row r="27" spans="1:16" x14ac:dyDescent="0.4">
      <c r="A27" s="6" t="s">
        <v>326</v>
      </c>
      <c r="B27" s="30"/>
      <c r="C27" s="32"/>
      <c r="D27" s="36"/>
      <c r="E27" s="8"/>
      <c r="F27" s="7"/>
      <c r="G27" s="8"/>
      <c r="H27" s="8"/>
      <c r="I27" s="8"/>
      <c r="J27" s="8"/>
    </row>
    <row r="28" spans="1:16" x14ac:dyDescent="0.4">
      <c r="A28" s="3" t="s">
        <v>327</v>
      </c>
      <c r="B28" s="38">
        <v>24</v>
      </c>
      <c r="C28" s="40"/>
      <c r="D28" s="41">
        <v>-1181</v>
      </c>
      <c r="E28" s="101"/>
      <c r="F28" s="102">
        <v>578</v>
      </c>
      <c r="G28" s="101"/>
      <c r="H28" s="101">
        <v>-190</v>
      </c>
      <c r="I28" s="101"/>
      <c r="J28" s="101"/>
    </row>
    <row r="36" ht="11.4" customHeight="1" x14ac:dyDescent="0.4"/>
  </sheetData>
  <mergeCells count="8">
    <mergeCell ref="I2:J2"/>
    <mergeCell ref="I3:J3"/>
    <mergeCell ref="G3:H3"/>
    <mergeCell ref="E3:F3"/>
    <mergeCell ref="C3:D3"/>
    <mergeCell ref="C2:D2"/>
    <mergeCell ref="E2:F2"/>
    <mergeCell ref="G2:H2"/>
  </mergeCells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DD4C7-1400-4966-A14F-7831B445104A}">
  <dimension ref="A2:K38"/>
  <sheetViews>
    <sheetView zoomScale="70" zoomScaleNormal="70" workbookViewId="0">
      <selection activeCell="E4" sqref="E4"/>
    </sheetView>
  </sheetViews>
  <sheetFormatPr defaultRowHeight="17.399999999999999" x14ac:dyDescent="0.4"/>
  <cols>
    <col min="1" max="1" width="50.09765625" bestFit="1" customWidth="1"/>
    <col min="2" max="5" width="16" bestFit="1" customWidth="1"/>
    <col min="8" max="11" width="14.8984375" bestFit="1" customWidth="1"/>
  </cols>
  <sheetData>
    <row r="2" spans="1:11" x14ac:dyDescent="0.4">
      <c r="B2" s="19">
        <v>2022</v>
      </c>
      <c r="C2" s="19">
        <v>2023</v>
      </c>
      <c r="D2" s="19">
        <v>2024</v>
      </c>
      <c r="E2" s="19">
        <v>2025</v>
      </c>
      <c r="J2" s="22"/>
      <c r="K2" s="22" t="s">
        <v>50</v>
      </c>
    </row>
    <row r="3" spans="1:11" x14ac:dyDescent="0.4">
      <c r="A3" s="11"/>
      <c r="B3" s="9" t="s">
        <v>331</v>
      </c>
      <c r="C3" s="10" t="s">
        <v>330</v>
      </c>
      <c r="D3" s="10" t="s">
        <v>329</v>
      </c>
      <c r="E3" s="10" t="s">
        <v>427</v>
      </c>
      <c r="G3" s="20" t="s">
        <v>49</v>
      </c>
      <c r="H3" s="21">
        <v>2022</v>
      </c>
      <c r="I3" s="21">
        <v>2023</v>
      </c>
      <c r="J3" s="21">
        <v>2024</v>
      </c>
      <c r="K3" s="21">
        <v>2025</v>
      </c>
    </row>
    <row r="4" spans="1:11" x14ac:dyDescent="0.4">
      <c r="A4" s="6" t="s">
        <v>77</v>
      </c>
      <c r="B4" s="4">
        <v>139804268433</v>
      </c>
      <c r="C4" s="5">
        <v>167018523235</v>
      </c>
      <c r="D4" s="5">
        <v>207663908465</v>
      </c>
      <c r="E4" s="5">
        <v>249313558393</v>
      </c>
      <c r="G4" s="72" t="s">
        <v>231</v>
      </c>
      <c r="H4" s="73">
        <f>+B22+B21+B19+B37-B38</f>
        <v>72646247979</v>
      </c>
      <c r="I4" s="73">
        <f>+C22+C21+C19+C37-C38</f>
        <v>57493259707</v>
      </c>
      <c r="J4" s="73">
        <f>+D22+D21+D19+D37-D38</f>
        <v>57707662050</v>
      </c>
      <c r="K4" s="73">
        <f>+E22+E21+E19+E37-E38</f>
        <v>94122419889</v>
      </c>
    </row>
    <row r="5" spans="1:11" x14ac:dyDescent="0.4">
      <c r="A5" s="6" t="s">
        <v>332</v>
      </c>
      <c r="B5" s="4">
        <v>93938482802</v>
      </c>
      <c r="C5" s="5">
        <v>113227506560</v>
      </c>
      <c r="D5" s="5">
        <v>130331946710</v>
      </c>
      <c r="E5" s="5"/>
      <c r="G5" s="28" t="s">
        <v>46</v>
      </c>
      <c r="H5" s="29">
        <f>B22</f>
        <v>43077642022</v>
      </c>
      <c r="I5" s="29">
        <f>C22</f>
        <v>33476983675</v>
      </c>
      <c r="J5" s="29">
        <f>D22</f>
        <v>40516306493</v>
      </c>
      <c r="K5" s="29">
        <f>E22</f>
        <v>73022150813</v>
      </c>
    </row>
    <row r="6" spans="1:11" x14ac:dyDescent="0.4">
      <c r="A6" s="6" t="s">
        <v>333</v>
      </c>
      <c r="B6" s="4">
        <v>92675577562</v>
      </c>
      <c r="C6" s="5">
        <v>106693056628</v>
      </c>
      <c r="D6" s="5">
        <v>123714157115</v>
      </c>
      <c r="E6" s="5"/>
      <c r="G6" s="26" t="s">
        <v>47</v>
      </c>
      <c r="H6" s="27">
        <f>B26</f>
        <v>31404547250</v>
      </c>
      <c r="I6" s="27">
        <f>C26</f>
        <v>25950665318</v>
      </c>
      <c r="J6" s="27">
        <f>D26</f>
        <v>29230307247</v>
      </c>
      <c r="K6" s="27">
        <f>E26</f>
        <v>55512815007</v>
      </c>
    </row>
    <row r="7" spans="1:11" x14ac:dyDescent="0.4">
      <c r="A7" s="6" t="s">
        <v>334</v>
      </c>
      <c r="B7" s="4">
        <v>1262905240</v>
      </c>
      <c r="C7" s="5">
        <v>6534449932</v>
      </c>
      <c r="D7" s="5">
        <v>6617789595</v>
      </c>
      <c r="E7" s="5"/>
    </row>
    <row r="8" spans="1:11" x14ac:dyDescent="0.4">
      <c r="A8" s="6" t="s">
        <v>335</v>
      </c>
      <c r="B8" s="4">
        <v>12459081414</v>
      </c>
      <c r="C8" s="5">
        <v>12797284585</v>
      </c>
      <c r="D8" s="5">
        <v>18991233526</v>
      </c>
      <c r="E8" s="5"/>
    </row>
    <row r="9" spans="1:11" x14ac:dyDescent="0.4">
      <c r="A9" s="6" t="s">
        <v>336</v>
      </c>
      <c r="B9" s="4">
        <v>30518227074</v>
      </c>
      <c r="C9" s="5">
        <v>36933327730</v>
      </c>
      <c r="D9" s="5">
        <v>49474622182</v>
      </c>
      <c r="E9" s="5"/>
      <c r="G9" t="s">
        <v>48</v>
      </c>
      <c r="J9" s="22"/>
      <c r="K9" s="22" t="s">
        <v>51</v>
      </c>
    </row>
    <row r="10" spans="1:11" x14ac:dyDescent="0.4">
      <c r="A10" s="6" t="s">
        <v>337</v>
      </c>
      <c r="B10" s="7">
        <v>0</v>
      </c>
      <c r="C10" s="5">
        <v>1423073316</v>
      </c>
      <c r="D10" s="5">
        <v>1416287103</v>
      </c>
      <c r="E10" s="5"/>
      <c r="G10" s="20" t="s">
        <v>49</v>
      </c>
      <c r="H10" s="21">
        <v>2022</v>
      </c>
      <c r="I10" s="21">
        <v>2023</v>
      </c>
      <c r="J10" s="21">
        <v>2024</v>
      </c>
      <c r="K10" s="21">
        <v>2025</v>
      </c>
    </row>
    <row r="11" spans="1:11" x14ac:dyDescent="0.4">
      <c r="A11" s="6" t="s">
        <v>338</v>
      </c>
      <c r="B11" s="4">
        <v>1185784933</v>
      </c>
      <c r="C11" s="8">
        <v>0</v>
      </c>
      <c r="D11" s="8">
        <v>0</v>
      </c>
      <c r="E11" s="8"/>
      <c r="G11" s="72" t="s">
        <v>231</v>
      </c>
      <c r="H11" s="73">
        <f t="shared" ref="H11:J13" si="0">H4/1000000</f>
        <v>72646.247979000007</v>
      </c>
      <c r="I11" s="73">
        <f t="shared" si="0"/>
        <v>57493.259706999997</v>
      </c>
      <c r="J11" s="73">
        <f t="shared" si="0"/>
        <v>57707.662049999999</v>
      </c>
      <c r="K11" s="73">
        <f t="shared" ref="K11" si="1">K4/1000000</f>
        <v>94122.419888999997</v>
      </c>
    </row>
    <row r="12" spans="1:11" x14ac:dyDescent="0.4">
      <c r="A12" s="6" t="s">
        <v>339</v>
      </c>
      <c r="B12" s="4">
        <v>1702692210</v>
      </c>
      <c r="C12" s="5">
        <v>2637331044</v>
      </c>
      <c r="D12" s="5">
        <v>7449818944</v>
      </c>
      <c r="E12" s="5"/>
      <c r="G12" s="28" t="s">
        <v>46</v>
      </c>
      <c r="H12" s="29">
        <f t="shared" si="0"/>
        <v>43077.642022</v>
      </c>
      <c r="I12" s="29">
        <f t="shared" si="0"/>
        <v>33476.983675000003</v>
      </c>
      <c r="J12" s="29">
        <f t="shared" si="0"/>
        <v>40516.306492999996</v>
      </c>
      <c r="K12" s="29">
        <f t="shared" ref="K12" si="2">K5/1000000</f>
        <v>73022.150813</v>
      </c>
    </row>
    <row r="13" spans="1:11" x14ac:dyDescent="0.4">
      <c r="A13" s="6" t="s">
        <v>101</v>
      </c>
      <c r="B13" s="4">
        <v>96726626411</v>
      </c>
      <c r="C13" s="5">
        <v>133541539560</v>
      </c>
      <c r="D13" s="5">
        <v>167147601972</v>
      </c>
      <c r="E13" s="5"/>
      <c r="G13" s="26" t="s">
        <v>47</v>
      </c>
      <c r="H13" s="27">
        <f t="shared" si="0"/>
        <v>31404.54725</v>
      </c>
      <c r="I13" s="27">
        <f t="shared" si="0"/>
        <v>25950.665317999999</v>
      </c>
      <c r="J13" s="27">
        <f t="shared" si="0"/>
        <v>29230.307247000001</v>
      </c>
      <c r="K13" s="27">
        <f t="shared" ref="K13" si="3">K6/1000000</f>
        <v>55512.815006999997</v>
      </c>
    </row>
    <row r="14" spans="1:11" x14ac:dyDescent="0.4">
      <c r="A14" s="6" t="s">
        <v>340</v>
      </c>
      <c r="B14" s="4">
        <v>52712289827</v>
      </c>
      <c r="C14" s="5">
        <v>92821727260</v>
      </c>
      <c r="D14" s="5">
        <v>120450911062</v>
      </c>
      <c r="E14" s="5"/>
    </row>
    <row r="15" spans="1:11" x14ac:dyDescent="0.4">
      <c r="A15" s="6" t="s">
        <v>341</v>
      </c>
      <c r="B15" s="4">
        <v>2136129926</v>
      </c>
      <c r="C15" s="5">
        <v>1905849234</v>
      </c>
      <c r="D15" s="5">
        <v>2339690313</v>
      </c>
      <c r="E15" s="5"/>
    </row>
    <row r="16" spans="1:11" x14ac:dyDescent="0.4">
      <c r="A16" s="6" t="s">
        <v>342</v>
      </c>
      <c r="B16" s="4">
        <v>8976471560</v>
      </c>
      <c r="C16" s="5">
        <v>10278591551</v>
      </c>
      <c r="D16" s="5">
        <v>14892211439</v>
      </c>
      <c r="E16" s="5"/>
      <c r="G16" t="s">
        <v>52</v>
      </c>
      <c r="J16" s="22"/>
      <c r="K16" s="22" t="s">
        <v>53</v>
      </c>
    </row>
    <row r="17" spans="1:11" x14ac:dyDescent="0.4">
      <c r="A17" s="6" t="s">
        <v>343</v>
      </c>
      <c r="B17" s="4">
        <v>515655436</v>
      </c>
      <c r="C17" s="5">
        <v>1893170150</v>
      </c>
      <c r="D17" s="5">
        <v>4825768175</v>
      </c>
      <c r="E17" s="5"/>
      <c r="G17" s="20" t="s">
        <v>49</v>
      </c>
      <c r="H17" s="21">
        <v>2022</v>
      </c>
      <c r="I17" s="21">
        <v>2023</v>
      </c>
      <c r="J17" s="21">
        <v>2024</v>
      </c>
      <c r="K17" s="21">
        <v>2025</v>
      </c>
    </row>
    <row r="18" spans="1:11" x14ac:dyDescent="0.4">
      <c r="A18" s="6" t="s">
        <v>344</v>
      </c>
      <c r="B18" s="4">
        <v>1619561766</v>
      </c>
      <c r="C18" s="5">
        <v>1828277930</v>
      </c>
      <c r="D18" s="5">
        <v>7354002348</v>
      </c>
      <c r="E18" s="5"/>
      <c r="G18" s="72" t="s">
        <v>231</v>
      </c>
      <c r="H18" s="73">
        <f t="shared" ref="H18:J20" si="4">H4/100000000</f>
        <v>726.46247978999997</v>
      </c>
      <c r="I18" s="73">
        <f t="shared" si="4"/>
        <v>574.93259707000004</v>
      </c>
      <c r="J18" s="73">
        <f t="shared" si="4"/>
        <v>577.07662049999999</v>
      </c>
      <c r="K18" s="73">
        <f t="shared" ref="K18" si="5">K4/100000000</f>
        <v>941.22419889000003</v>
      </c>
    </row>
    <row r="19" spans="1:11" x14ac:dyDescent="0.4">
      <c r="A19" s="16" t="s">
        <v>345</v>
      </c>
      <c r="B19" s="17">
        <v>16804950060</v>
      </c>
      <c r="C19" s="18">
        <v>13778226470</v>
      </c>
      <c r="D19" s="18">
        <v>4486866955</v>
      </c>
      <c r="E19" s="18">
        <v>3607556981</v>
      </c>
      <c r="G19" s="28" t="s">
        <v>46</v>
      </c>
      <c r="H19" s="29">
        <f t="shared" si="4"/>
        <v>430.77642021999998</v>
      </c>
      <c r="I19" s="29">
        <f t="shared" si="4"/>
        <v>334.76983675000002</v>
      </c>
      <c r="J19" s="29">
        <f t="shared" si="4"/>
        <v>405.16306493000002</v>
      </c>
      <c r="K19" s="29">
        <f t="shared" ref="K19" si="6">K5/100000000</f>
        <v>730.22150812999996</v>
      </c>
    </row>
    <row r="20" spans="1:11" x14ac:dyDescent="0.4">
      <c r="A20" s="6" t="s">
        <v>346</v>
      </c>
      <c r="B20" s="4">
        <v>1474865939</v>
      </c>
      <c r="C20" s="5">
        <v>12921403</v>
      </c>
      <c r="D20" s="5">
        <v>13734078</v>
      </c>
      <c r="E20" s="5"/>
      <c r="G20" s="26" t="s">
        <v>47</v>
      </c>
      <c r="H20" s="27">
        <f t="shared" si="4"/>
        <v>314.04547250000002</v>
      </c>
      <c r="I20" s="27">
        <f t="shared" si="4"/>
        <v>259.50665318</v>
      </c>
      <c r="J20" s="27">
        <f t="shared" si="4"/>
        <v>292.30307247000002</v>
      </c>
      <c r="K20" s="27">
        <f t="shared" ref="K20" si="7">K6/100000000</f>
        <v>555.12815006999995</v>
      </c>
    </row>
    <row r="21" spans="1:11" x14ac:dyDescent="0.4">
      <c r="A21" s="16" t="s">
        <v>20</v>
      </c>
      <c r="B21" s="17">
        <v>12486701897</v>
      </c>
      <c r="C21" s="18">
        <v>11022775562</v>
      </c>
      <c r="D21" s="18">
        <v>12784417602</v>
      </c>
      <c r="E21" s="18">
        <v>17667288095</v>
      </c>
    </row>
    <row r="22" spans="1:11" x14ac:dyDescent="0.4">
      <c r="A22" s="13" t="s">
        <v>122</v>
      </c>
      <c r="B22" s="14">
        <v>43077642022</v>
      </c>
      <c r="C22" s="15">
        <v>33476983675</v>
      </c>
      <c r="D22" s="15">
        <v>40516306493</v>
      </c>
      <c r="E22" s="15">
        <v>73022150813</v>
      </c>
      <c r="G22" s="50" t="s">
        <v>362</v>
      </c>
    </row>
    <row r="23" spans="1:11" x14ac:dyDescent="0.4">
      <c r="A23" s="6" t="s">
        <v>347</v>
      </c>
      <c r="B23" s="4">
        <v>76252675</v>
      </c>
      <c r="C23" s="5">
        <v>-20025061</v>
      </c>
      <c r="D23" s="5">
        <v>-80287093</v>
      </c>
      <c r="E23" s="5"/>
    </row>
    <row r="24" spans="1:11" x14ac:dyDescent="0.4">
      <c r="A24" s="6" t="s">
        <v>348</v>
      </c>
      <c r="B24" s="4">
        <v>43153894697</v>
      </c>
      <c r="C24" s="5">
        <v>33456958614</v>
      </c>
      <c r="D24" s="5">
        <v>40436019400</v>
      </c>
      <c r="E24" s="5"/>
    </row>
    <row r="25" spans="1:11" x14ac:dyDescent="0.4">
      <c r="A25" s="6" t="s">
        <v>349</v>
      </c>
      <c r="B25" s="4">
        <v>11749347447</v>
      </c>
      <c r="C25" s="5">
        <v>7506293296</v>
      </c>
      <c r="D25" s="5">
        <v>11205712153</v>
      </c>
      <c r="E25" s="5"/>
    </row>
    <row r="26" spans="1:11" x14ac:dyDescent="0.4">
      <c r="A26" s="23" t="s">
        <v>350</v>
      </c>
      <c r="B26" s="24">
        <v>31404547250</v>
      </c>
      <c r="C26" s="25">
        <v>25950665318</v>
      </c>
      <c r="D26" s="25">
        <v>29230307247</v>
      </c>
      <c r="E26" s="25">
        <v>55512815007</v>
      </c>
    </row>
    <row r="27" spans="1:11" x14ac:dyDescent="0.4">
      <c r="A27" s="6" t="s">
        <v>351</v>
      </c>
      <c r="B27" s="4">
        <v>623348455</v>
      </c>
      <c r="C27" s="5">
        <v>-781471522</v>
      </c>
      <c r="D27" s="5">
        <v>-161850804</v>
      </c>
      <c r="E27" s="5"/>
    </row>
    <row r="28" spans="1:11" x14ac:dyDescent="0.4">
      <c r="A28" s="6" t="s">
        <v>352</v>
      </c>
      <c r="B28" s="7"/>
      <c r="C28" s="8"/>
      <c r="D28" s="8"/>
      <c r="E28" s="8"/>
    </row>
    <row r="29" spans="1:11" x14ac:dyDescent="0.4">
      <c r="A29" s="6" t="s">
        <v>353</v>
      </c>
      <c r="B29" s="4">
        <v>134844376</v>
      </c>
      <c r="C29" s="5">
        <v>-108766427</v>
      </c>
      <c r="D29" s="5">
        <v>-128573874</v>
      </c>
      <c r="E29" s="5"/>
    </row>
    <row r="30" spans="1:11" x14ac:dyDescent="0.4">
      <c r="A30" s="6" t="s">
        <v>354</v>
      </c>
      <c r="B30" s="7"/>
      <c r="C30" s="8"/>
      <c r="D30" s="8"/>
      <c r="E30" s="8"/>
    </row>
    <row r="31" spans="1:11" x14ac:dyDescent="0.4">
      <c r="A31" s="6" t="s">
        <v>355</v>
      </c>
      <c r="B31" s="4">
        <v>488504079</v>
      </c>
      <c r="C31" s="5">
        <v>-672705095</v>
      </c>
      <c r="D31" s="5">
        <v>-33276930</v>
      </c>
      <c r="E31" s="5"/>
    </row>
    <row r="32" spans="1:11" x14ac:dyDescent="0.4">
      <c r="A32" s="6" t="s">
        <v>356</v>
      </c>
      <c r="B32" s="4">
        <v>32027895705</v>
      </c>
      <c r="C32" s="5">
        <v>25169193796</v>
      </c>
      <c r="D32" s="5">
        <v>29068456443</v>
      </c>
      <c r="E32" s="5"/>
    </row>
    <row r="33" spans="1:5" x14ac:dyDescent="0.4">
      <c r="A33" s="6" t="s">
        <v>357</v>
      </c>
      <c r="B33" s="7"/>
      <c r="C33" s="8"/>
      <c r="D33" s="8"/>
      <c r="E33" s="8"/>
    </row>
    <row r="34" spans="1:5" x14ac:dyDescent="0.4">
      <c r="A34" s="3" t="s">
        <v>358</v>
      </c>
      <c r="B34" s="1">
        <v>2855</v>
      </c>
      <c r="C34" s="2">
        <v>2289</v>
      </c>
      <c r="D34" s="2">
        <v>2436</v>
      </c>
      <c r="E34" s="2"/>
    </row>
    <row r="36" spans="1:5" x14ac:dyDescent="0.4">
      <c r="A36" s="106" t="s">
        <v>359</v>
      </c>
      <c r="B36" s="19">
        <v>2022</v>
      </c>
      <c r="C36" s="19">
        <v>2023</v>
      </c>
      <c r="D36" s="19">
        <v>2024</v>
      </c>
      <c r="E36" s="19">
        <v>2025</v>
      </c>
    </row>
    <row r="37" spans="1:5" x14ac:dyDescent="0.4">
      <c r="A37" s="109" t="s">
        <v>360</v>
      </c>
      <c r="B37" s="110">
        <v>276954000</v>
      </c>
      <c r="C37" s="110"/>
      <c r="D37" s="110"/>
      <c r="E37" s="110"/>
    </row>
    <row r="38" spans="1:5" x14ac:dyDescent="0.4">
      <c r="A38" s="108" t="s">
        <v>361</v>
      </c>
      <c r="B38" s="107"/>
      <c r="C38" s="107">
        <v>784726000</v>
      </c>
      <c r="D38" s="107">
        <v>79929000</v>
      </c>
      <c r="E38" s="107">
        <v>174576000</v>
      </c>
    </row>
  </sheetData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EEB7A-27E2-45F0-AC2C-CF6D6B00E694}">
  <dimension ref="A2:K34"/>
  <sheetViews>
    <sheetView zoomScale="85" zoomScaleNormal="85" workbookViewId="0">
      <selection activeCell="G25" sqref="G25"/>
    </sheetView>
  </sheetViews>
  <sheetFormatPr defaultRowHeight="17.399999999999999" x14ac:dyDescent="0.4"/>
  <cols>
    <col min="1" max="1" width="45.09765625" bestFit="1" customWidth="1"/>
    <col min="2" max="4" width="14.8984375" bestFit="1" customWidth="1"/>
    <col min="5" max="5" width="15.69921875" bestFit="1" customWidth="1"/>
    <col min="8" max="11" width="14.8984375" bestFit="1" customWidth="1"/>
  </cols>
  <sheetData>
    <row r="2" spans="1:11" x14ac:dyDescent="0.4">
      <c r="B2">
        <v>2022</v>
      </c>
      <c r="C2">
        <v>2023</v>
      </c>
      <c r="D2">
        <v>2024</v>
      </c>
      <c r="E2">
        <v>2025</v>
      </c>
      <c r="J2" s="22"/>
      <c r="K2" s="22" t="s">
        <v>50</v>
      </c>
    </row>
    <row r="3" spans="1:11" x14ac:dyDescent="0.4">
      <c r="A3" s="11"/>
      <c r="B3" s="9" t="s">
        <v>364</v>
      </c>
      <c r="C3" s="10" t="s">
        <v>363</v>
      </c>
      <c r="D3" s="10" t="s">
        <v>331</v>
      </c>
      <c r="E3" s="10" t="s">
        <v>426</v>
      </c>
      <c r="G3" s="20" t="s">
        <v>49</v>
      </c>
      <c r="H3" s="21">
        <v>2022</v>
      </c>
      <c r="I3" s="21">
        <v>2023</v>
      </c>
      <c r="J3" s="21">
        <v>2024</v>
      </c>
      <c r="K3" s="21">
        <v>2025</v>
      </c>
    </row>
    <row r="4" spans="1:11" x14ac:dyDescent="0.4">
      <c r="A4" s="16" t="s">
        <v>43</v>
      </c>
      <c r="B4" s="17">
        <v>44156900563</v>
      </c>
      <c r="C4" s="18">
        <v>48747495391</v>
      </c>
      <c r="D4" s="18">
        <v>94320006447</v>
      </c>
      <c r="E4" s="18">
        <v>140426956266</v>
      </c>
      <c r="G4" s="72" t="s">
        <v>44</v>
      </c>
      <c r="H4" s="73">
        <f>B4</f>
        <v>44156900563</v>
      </c>
      <c r="I4" s="73">
        <f>C4</f>
        <v>48747495391</v>
      </c>
      <c r="J4" s="73">
        <f>D4</f>
        <v>94320006447</v>
      </c>
      <c r="K4" s="73">
        <f>E4</f>
        <v>140426956266</v>
      </c>
    </row>
    <row r="5" spans="1:11" x14ac:dyDescent="0.4">
      <c r="A5" s="6" t="s">
        <v>365</v>
      </c>
      <c r="B5" s="7">
        <v>0</v>
      </c>
      <c r="C5" s="5">
        <v>666107769</v>
      </c>
      <c r="D5" s="5">
        <v>327546305</v>
      </c>
      <c r="E5" s="5"/>
      <c r="G5" s="28" t="s">
        <v>46</v>
      </c>
      <c r="H5" s="29">
        <f>B23</f>
        <v>12024422813</v>
      </c>
      <c r="I5" s="29">
        <f>C23</f>
        <v>10616428006</v>
      </c>
      <c r="J5" s="29">
        <f>D23</f>
        <v>16514190766</v>
      </c>
      <c r="K5" s="29">
        <f>E23</f>
        <v>25586295109</v>
      </c>
    </row>
    <row r="6" spans="1:11" x14ac:dyDescent="0.4">
      <c r="A6" s="6" t="s">
        <v>366</v>
      </c>
      <c r="B6" s="4">
        <v>18534460170</v>
      </c>
      <c r="C6" s="5">
        <v>31960502492</v>
      </c>
      <c r="D6" s="5">
        <v>67971498630</v>
      </c>
      <c r="E6" s="5"/>
      <c r="G6" s="26" t="s">
        <v>47</v>
      </c>
      <c r="H6" s="27">
        <f>B27</f>
        <v>10431809970</v>
      </c>
      <c r="I6" s="27">
        <f>C27</f>
        <v>7237975298</v>
      </c>
      <c r="J6" s="27">
        <f>D27</f>
        <v>13047100290</v>
      </c>
      <c r="K6" s="27">
        <f>E27</f>
        <v>20701199696</v>
      </c>
    </row>
    <row r="7" spans="1:11" x14ac:dyDescent="0.4">
      <c r="A7" s="6" t="s">
        <v>367</v>
      </c>
      <c r="B7" s="4">
        <v>18194950582</v>
      </c>
      <c r="C7" s="5">
        <v>30220747238</v>
      </c>
      <c r="D7" s="5">
        <v>64527904093</v>
      </c>
      <c r="E7" s="5"/>
    </row>
    <row r="8" spans="1:11" x14ac:dyDescent="0.4">
      <c r="A8" s="6" t="s">
        <v>368</v>
      </c>
      <c r="B8" s="4">
        <v>339509588</v>
      </c>
      <c r="C8" s="5">
        <v>1739755254</v>
      </c>
      <c r="D8" s="5">
        <v>3443594537</v>
      </c>
      <c r="E8" s="5"/>
    </row>
    <row r="9" spans="1:11" x14ac:dyDescent="0.4">
      <c r="A9" s="6" t="s">
        <v>369</v>
      </c>
      <c r="B9" s="4">
        <v>2968940838</v>
      </c>
      <c r="C9" s="5">
        <v>9735319149</v>
      </c>
      <c r="D9" s="5">
        <v>8154631717</v>
      </c>
      <c r="E9" s="5"/>
      <c r="G9" t="s">
        <v>48</v>
      </c>
      <c r="J9" s="22"/>
      <c r="K9" s="22" t="s">
        <v>51</v>
      </c>
    </row>
    <row r="10" spans="1:11" x14ac:dyDescent="0.4">
      <c r="A10" s="6" t="s">
        <v>370</v>
      </c>
      <c r="B10" s="4">
        <v>21259256677</v>
      </c>
      <c r="C10" s="5">
        <v>5564134593</v>
      </c>
      <c r="D10" s="5">
        <v>14037912337</v>
      </c>
      <c r="E10" s="5"/>
      <c r="G10" s="20" t="s">
        <v>49</v>
      </c>
      <c r="H10" s="21">
        <v>2022</v>
      </c>
      <c r="I10" s="21">
        <v>2023</v>
      </c>
      <c r="J10" s="21">
        <v>2024</v>
      </c>
      <c r="K10" s="21">
        <v>2025</v>
      </c>
    </row>
    <row r="11" spans="1:11" x14ac:dyDescent="0.4">
      <c r="A11" s="6" t="s">
        <v>371</v>
      </c>
      <c r="B11" s="4">
        <v>1394242878</v>
      </c>
      <c r="C11" s="5">
        <v>252721476</v>
      </c>
      <c r="D11" s="8">
        <v>0</v>
      </c>
      <c r="E11" s="8"/>
      <c r="G11" s="72" t="s">
        <v>44</v>
      </c>
      <c r="H11" s="73">
        <f t="shared" ref="H11:J13" si="0">H4/1000000</f>
        <v>44156.900563000003</v>
      </c>
      <c r="I11" s="73">
        <f t="shared" si="0"/>
        <v>48747.495390999997</v>
      </c>
      <c r="J11" s="73">
        <f t="shared" si="0"/>
        <v>94320.006447000007</v>
      </c>
      <c r="K11" s="73">
        <f t="shared" ref="K11" si="1">K4/1000000</f>
        <v>140426.95626599999</v>
      </c>
    </row>
    <row r="12" spans="1:11" x14ac:dyDescent="0.4">
      <c r="A12" s="6" t="s">
        <v>372</v>
      </c>
      <c r="B12" s="7">
        <v>0</v>
      </c>
      <c r="C12" s="5">
        <v>527300000</v>
      </c>
      <c r="D12" s="5">
        <v>668200000</v>
      </c>
      <c r="E12" s="5"/>
      <c r="G12" s="28" t="s">
        <v>46</v>
      </c>
      <c r="H12" s="29">
        <f t="shared" si="0"/>
        <v>12024.422812999999</v>
      </c>
      <c r="I12" s="29">
        <f t="shared" si="0"/>
        <v>10616.428006</v>
      </c>
      <c r="J12" s="29">
        <f t="shared" si="0"/>
        <v>16514.190766</v>
      </c>
      <c r="K12" s="29">
        <f t="shared" ref="K12" si="2">K5/1000000</f>
        <v>25586.295108999999</v>
      </c>
    </row>
    <row r="13" spans="1:11" x14ac:dyDescent="0.4">
      <c r="A13" s="6" t="s">
        <v>373</v>
      </c>
      <c r="B13" s="7">
        <v>0</v>
      </c>
      <c r="C13" s="5">
        <v>41409912</v>
      </c>
      <c r="D13" s="5">
        <v>3160217458</v>
      </c>
      <c r="E13" s="5"/>
      <c r="G13" s="26" t="s">
        <v>47</v>
      </c>
      <c r="H13" s="27">
        <f t="shared" si="0"/>
        <v>10431.80997</v>
      </c>
      <c r="I13" s="27">
        <f t="shared" si="0"/>
        <v>7237.9752980000003</v>
      </c>
      <c r="J13" s="27">
        <f t="shared" si="0"/>
        <v>13047.10029</v>
      </c>
      <c r="K13" s="27">
        <f t="shared" ref="K13" si="3">K6/1000000</f>
        <v>20701.199696</v>
      </c>
    </row>
    <row r="14" spans="1:11" x14ac:dyDescent="0.4">
      <c r="A14" s="6" t="s">
        <v>62</v>
      </c>
      <c r="B14" s="4">
        <v>32132477750</v>
      </c>
      <c r="C14" s="5">
        <v>38131067385</v>
      </c>
      <c r="D14" s="5">
        <v>77805815681</v>
      </c>
      <c r="E14" s="5"/>
    </row>
    <row r="15" spans="1:11" x14ac:dyDescent="0.4">
      <c r="A15" s="6" t="s">
        <v>374</v>
      </c>
      <c r="B15" s="4">
        <v>3278367474</v>
      </c>
      <c r="C15" s="5">
        <v>3205628616</v>
      </c>
      <c r="D15" s="5">
        <v>3917210698</v>
      </c>
      <c r="E15" s="5"/>
    </row>
    <row r="16" spans="1:11" x14ac:dyDescent="0.4">
      <c r="A16" s="6" t="s">
        <v>375</v>
      </c>
      <c r="B16" s="4">
        <v>9198301472</v>
      </c>
      <c r="C16" s="5">
        <v>17659067609</v>
      </c>
      <c r="D16" s="5">
        <v>42564429912</v>
      </c>
      <c r="E16" s="5"/>
      <c r="G16" t="s">
        <v>52</v>
      </c>
      <c r="J16" s="22"/>
      <c r="K16" s="22" t="s">
        <v>53</v>
      </c>
    </row>
    <row r="17" spans="1:11" x14ac:dyDescent="0.4">
      <c r="A17" s="6" t="s">
        <v>376</v>
      </c>
      <c r="B17" s="4">
        <v>1386443714</v>
      </c>
      <c r="C17" s="5">
        <v>321808100</v>
      </c>
      <c r="D17" s="5">
        <v>1489111857</v>
      </c>
      <c r="E17" s="5"/>
      <c r="G17" s="20" t="s">
        <v>49</v>
      </c>
      <c r="H17" s="21">
        <v>2022</v>
      </c>
      <c r="I17" s="21">
        <v>2023</v>
      </c>
      <c r="J17" s="21">
        <v>2024</v>
      </c>
      <c r="K17" s="21">
        <v>2025</v>
      </c>
    </row>
    <row r="18" spans="1:11" x14ac:dyDescent="0.4">
      <c r="A18" s="6" t="s">
        <v>377</v>
      </c>
      <c r="B18" s="4">
        <v>10356162529</v>
      </c>
      <c r="C18" s="5">
        <v>9075322670</v>
      </c>
      <c r="D18" s="5">
        <v>19646646372</v>
      </c>
      <c r="E18" s="5"/>
      <c r="G18" s="72" t="s">
        <v>44</v>
      </c>
      <c r="H18" s="73">
        <f t="shared" ref="H18:J20" si="4">H4/100000000</f>
        <v>441.56900562999999</v>
      </c>
      <c r="I18" s="73">
        <f t="shared" si="4"/>
        <v>487.47495391000001</v>
      </c>
      <c r="J18" s="73">
        <f t="shared" si="4"/>
        <v>943.20006447000003</v>
      </c>
      <c r="K18" s="73">
        <f t="shared" ref="K18" si="5">K4/100000000</f>
        <v>1404.26956266</v>
      </c>
    </row>
    <row r="19" spans="1:11" x14ac:dyDescent="0.4">
      <c r="A19" s="6" t="s">
        <v>378</v>
      </c>
      <c r="B19" s="4">
        <v>175026095</v>
      </c>
      <c r="C19" s="5">
        <v>498798001</v>
      </c>
      <c r="D19" s="5">
        <v>448785870</v>
      </c>
      <c r="E19" s="5"/>
      <c r="G19" s="28" t="s">
        <v>46</v>
      </c>
      <c r="H19" s="29">
        <f t="shared" si="4"/>
        <v>120.24422813</v>
      </c>
      <c r="I19" s="29">
        <f t="shared" si="4"/>
        <v>106.16428006</v>
      </c>
      <c r="J19" s="29">
        <f t="shared" si="4"/>
        <v>165.14190765999999</v>
      </c>
      <c r="K19" s="29">
        <f t="shared" ref="K19" si="6">K5/100000000</f>
        <v>255.86295109</v>
      </c>
    </row>
    <row r="20" spans="1:11" x14ac:dyDescent="0.4">
      <c r="A20" s="6" t="s">
        <v>379</v>
      </c>
      <c r="B20" s="4">
        <v>1425600000</v>
      </c>
      <c r="C20" s="8">
        <v>0</v>
      </c>
      <c r="D20" s="8">
        <v>0</v>
      </c>
      <c r="E20" s="8"/>
      <c r="G20" s="26" t="s">
        <v>47</v>
      </c>
      <c r="H20" s="27">
        <f t="shared" si="4"/>
        <v>104.3180997</v>
      </c>
      <c r="I20" s="27">
        <f t="shared" si="4"/>
        <v>72.379752980000006</v>
      </c>
      <c r="J20" s="27">
        <f t="shared" si="4"/>
        <v>130.4710029</v>
      </c>
      <c r="K20" s="27">
        <f t="shared" ref="K20" si="7">K6/100000000</f>
        <v>207.01199696</v>
      </c>
    </row>
    <row r="21" spans="1:11" x14ac:dyDescent="0.4">
      <c r="A21" s="6" t="s">
        <v>380</v>
      </c>
      <c r="B21" s="4">
        <v>72144128</v>
      </c>
      <c r="C21" s="5">
        <v>1004002766</v>
      </c>
      <c r="D21" s="5">
        <v>489553714</v>
      </c>
      <c r="E21" s="5"/>
    </row>
    <row r="22" spans="1:11" x14ac:dyDescent="0.4">
      <c r="A22" s="6" t="s">
        <v>381</v>
      </c>
      <c r="B22" s="4">
        <v>6240432338</v>
      </c>
      <c r="C22" s="5">
        <v>6366439623</v>
      </c>
      <c r="D22" s="5">
        <v>9250077258</v>
      </c>
      <c r="E22" s="5"/>
    </row>
    <row r="23" spans="1:11" x14ac:dyDescent="0.4">
      <c r="A23" s="13" t="s">
        <v>382</v>
      </c>
      <c r="B23" s="14">
        <v>12024422813</v>
      </c>
      <c r="C23" s="15">
        <v>10616428006</v>
      </c>
      <c r="D23" s="15">
        <v>16514190766</v>
      </c>
      <c r="E23" s="15">
        <v>25586295109</v>
      </c>
    </row>
    <row r="24" spans="1:11" x14ac:dyDescent="0.4">
      <c r="A24" s="6" t="s">
        <v>68</v>
      </c>
      <c r="B24" s="4">
        <v>22956306</v>
      </c>
      <c r="C24" s="8">
        <v>0</v>
      </c>
      <c r="D24" s="8">
        <v>0</v>
      </c>
      <c r="E24" s="8"/>
    </row>
    <row r="25" spans="1:11" x14ac:dyDescent="0.4">
      <c r="A25" s="6" t="s">
        <v>383</v>
      </c>
      <c r="B25" s="4">
        <v>12001466507</v>
      </c>
      <c r="C25" s="5">
        <v>10616428006</v>
      </c>
      <c r="D25" s="5">
        <v>16514190766</v>
      </c>
      <c r="E25" s="5"/>
    </row>
    <row r="26" spans="1:11" x14ac:dyDescent="0.4">
      <c r="A26" s="6" t="s">
        <v>384</v>
      </c>
      <c r="B26" s="4">
        <v>1569656537</v>
      </c>
      <c r="C26" s="5">
        <v>3378452708</v>
      </c>
      <c r="D26" s="5">
        <v>3467090476</v>
      </c>
      <c r="E26" s="5"/>
    </row>
    <row r="27" spans="1:11" x14ac:dyDescent="0.4">
      <c r="A27" s="23" t="s">
        <v>385</v>
      </c>
      <c r="B27" s="24">
        <v>10431809970</v>
      </c>
      <c r="C27" s="25">
        <v>7237975298</v>
      </c>
      <c r="D27" s="25">
        <v>13047100290</v>
      </c>
      <c r="E27" s="25">
        <v>20701199696</v>
      </c>
    </row>
    <row r="28" spans="1:11" x14ac:dyDescent="0.4">
      <c r="A28" s="6" t="s">
        <v>386</v>
      </c>
      <c r="B28" s="4">
        <v>10431809970</v>
      </c>
      <c r="C28" s="5">
        <v>7237975298</v>
      </c>
      <c r="D28" s="5">
        <v>13047100290</v>
      </c>
      <c r="E28" s="5"/>
    </row>
    <row r="29" spans="1:11" x14ac:dyDescent="0.4">
      <c r="A29" s="6" t="s">
        <v>387</v>
      </c>
      <c r="B29" s="7">
        <v>0</v>
      </c>
      <c r="C29" s="8">
        <v>0</v>
      </c>
      <c r="D29" s="8">
        <v>0</v>
      </c>
      <c r="E29" s="8"/>
    </row>
    <row r="30" spans="1:11" x14ac:dyDescent="0.4">
      <c r="A30" s="6" t="s">
        <v>12</v>
      </c>
      <c r="B30" s="4">
        <v>31705920</v>
      </c>
      <c r="C30" s="5">
        <v>-68110376</v>
      </c>
      <c r="D30" s="5">
        <v>-88878486</v>
      </c>
      <c r="E30" s="5"/>
    </row>
    <row r="31" spans="1:11" x14ac:dyDescent="0.4">
      <c r="A31" s="6" t="s">
        <v>388</v>
      </c>
      <c r="B31" s="4">
        <v>31705920</v>
      </c>
      <c r="C31" s="5">
        <v>-68110376</v>
      </c>
      <c r="D31" s="5">
        <v>-88878486</v>
      </c>
      <c r="E31" s="5"/>
    </row>
    <row r="32" spans="1:11" x14ac:dyDescent="0.4">
      <c r="A32" s="6" t="s">
        <v>5</v>
      </c>
      <c r="B32" s="4">
        <v>10463515890</v>
      </c>
      <c r="C32" s="5">
        <v>7169864922</v>
      </c>
      <c r="D32" s="5">
        <v>12958221804</v>
      </c>
      <c r="E32" s="5"/>
    </row>
    <row r="33" spans="1:5" x14ac:dyDescent="0.4">
      <c r="A33" s="6" t="s">
        <v>389</v>
      </c>
      <c r="B33" s="4">
        <v>10463515890</v>
      </c>
      <c r="C33" s="5">
        <v>7169864922</v>
      </c>
      <c r="D33" s="5">
        <v>12958221804</v>
      </c>
      <c r="E33" s="5"/>
    </row>
    <row r="34" spans="1:5" x14ac:dyDescent="0.4">
      <c r="A34" s="3" t="s">
        <v>387</v>
      </c>
      <c r="B34" s="102">
        <v>0</v>
      </c>
      <c r="C34" s="101">
        <v>0</v>
      </c>
      <c r="D34" s="101">
        <v>0</v>
      </c>
      <c r="E34" s="101"/>
    </row>
  </sheetData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0C493-6647-40F8-B4D4-3F8F905571C3}">
  <sheetPr>
    <tabColor rgb="FFFFFF00"/>
    <pageSetUpPr fitToPage="1"/>
  </sheetPr>
  <dimension ref="A1:S29"/>
  <sheetViews>
    <sheetView tabSelected="1" view="pageBreakPreview" zoomScale="60" zoomScaleNormal="85" workbookViewId="0">
      <selection activeCell="K14" sqref="K14"/>
    </sheetView>
  </sheetViews>
  <sheetFormatPr defaultRowHeight="19.2" x14ac:dyDescent="0.4"/>
  <cols>
    <col min="1" max="1" width="8.796875" style="111"/>
    <col min="2" max="2" width="9.09765625" style="111" bestFit="1" customWidth="1"/>
    <col min="3" max="10" width="11.69921875" style="111" customWidth="1"/>
    <col min="11" max="11" width="5.59765625" style="111" customWidth="1"/>
    <col min="12" max="12" width="9.09765625" style="111" bestFit="1" customWidth="1"/>
    <col min="13" max="18" width="11.69921875" style="111" customWidth="1"/>
    <col min="19" max="16384" width="8.796875" style="111"/>
  </cols>
  <sheetData>
    <row r="1" spans="1:19" ht="24.6" customHeight="1" x14ac:dyDescent="0.4"/>
    <row r="2" spans="1:19" ht="24.6" customHeight="1" x14ac:dyDescent="0.4">
      <c r="I2" s="112"/>
      <c r="J2" s="112" t="s">
        <v>51</v>
      </c>
    </row>
    <row r="3" spans="1:19" ht="24.6" customHeight="1" x14ac:dyDescent="0.4">
      <c r="B3" s="133" t="s">
        <v>409</v>
      </c>
      <c r="C3" s="141" t="s">
        <v>390</v>
      </c>
      <c r="D3" s="135"/>
      <c r="E3" s="135"/>
      <c r="F3" s="135"/>
      <c r="G3" s="136" t="s">
        <v>46</v>
      </c>
      <c r="H3" s="136"/>
      <c r="I3" s="136"/>
      <c r="J3" s="136"/>
      <c r="L3" s="133" t="s">
        <v>409</v>
      </c>
      <c r="M3" s="137" t="s">
        <v>404</v>
      </c>
      <c r="N3" s="138"/>
      <c r="O3" s="138"/>
      <c r="P3" s="138"/>
      <c r="Q3" s="138"/>
      <c r="R3" s="138"/>
      <c r="S3" s="138"/>
    </row>
    <row r="4" spans="1:19" ht="24.6" customHeight="1" x14ac:dyDescent="0.4">
      <c r="B4" s="134"/>
      <c r="C4" s="142">
        <v>2022</v>
      </c>
      <c r="D4" s="143">
        <v>2023</v>
      </c>
      <c r="E4" s="143">
        <v>2024</v>
      </c>
      <c r="F4" s="143">
        <v>2025</v>
      </c>
      <c r="G4" s="143">
        <v>2022</v>
      </c>
      <c r="H4" s="143">
        <v>2023</v>
      </c>
      <c r="I4" s="143">
        <v>2024</v>
      </c>
      <c r="J4" s="143">
        <v>2025</v>
      </c>
      <c r="L4" s="134"/>
      <c r="M4" s="139"/>
      <c r="N4" s="140"/>
      <c r="O4" s="140"/>
      <c r="P4" s="140"/>
      <c r="Q4" s="140"/>
      <c r="R4" s="140"/>
      <c r="S4" s="140"/>
    </row>
    <row r="5" spans="1:19" ht="24.6" customHeight="1" x14ac:dyDescent="0.4">
      <c r="B5" s="114" t="s">
        <v>410</v>
      </c>
      <c r="C5" s="115">
        <v>1048318.8931399999</v>
      </c>
      <c r="D5" s="115">
        <v>856805.27805399999</v>
      </c>
      <c r="E5" s="115">
        <v>1592671</v>
      </c>
      <c r="F5" s="115">
        <v>2093349</v>
      </c>
      <c r="G5" s="115">
        <v>623564</v>
      </c>
      <c r="H5" s="115">
        <v>443354</v>
      </c>
      <c r="I5" s="115">
        <v>1059922</v>
      </c>
      <c r="J5" s="115">
        <v>1421928</v>
      </c>
      <c r="L5" s="114" t="s">
        <v>410</v>
      </c>
      <c r="M5" s="116" t="s">
        <v>411</v>
      </c>
      <c r="N5" s="117"/>
      <c r="O5" s="117"/>
      <c r="P5" s="117"/>
      <c r="Q5" s="117"/>
      <c r="R5" s="117"/>
      <c r="S5" s="117"/>
    </row>
    <row r="6" spans="1:19" ht="24.6" customHeight="1" x14ac:dyDescent="0.4">
      <c r="B6" s="118" t="s">
        <v>399</v>
      </c>
      <c r="C6" s="119">
        <f>KS!H11</f>
        <v>1108840.026058</v>
      </c>
      <c r="D6" s="119">
        <f>KS!I11</f>
        <v>920178.06147800002</v>
      </c>
      <c r="E6" s="119">
        <f>KS!J11</f>
        <v>1604621.0148700001</v>
      </c>
      <c r="F6" s="119">
        <f>KS!K11</f>
        <v>2038439.013887</v>
      </c>
      <c r="G6" s="119">
        <f>KS!H12</f>
        <v>645745.22215399996</v>
      </c>
      <c r="H6" s="119">
        <f>KS!I12</f>
        <v>472385.96071900002</v>
      </c>
      <c r="I6" s="119">
        <f>KS!J12</f>
        <v>1024732.993797</v>
      </c>
      <c r="J6" s="119">
        <f>KS!K12</f>
        <v>1325457.775596</v>
      </c>
      <c r="L6" s="118" t="s">
        <v>391</v>
      </c>
      <c r="M6" s="120" t="s">
        <v>408</v>
      </c>
      <c r="N6" s="120"/>
      <c r="O6" s="120"/>
      <c r="P6" s="120"/>
      <c r="Q6" s="120"/>
      <c r="R6" s="120"/>
      <c r="S6" s="120"/>
    </row>
    <row r="7" spans="1:19" ht="24.6" customHeight="1" x14ac:dyDescent="0.4">
      <c r="B7" s="114" t="s">
        <v>392</v>
      </c>
      <c r="C7" s="115">
        <f>KAM!M11</f>
        <v>80624.359062000003</v>
      </c>
      <c r="D7" s="115">
        <f>KAM!N11</f>
        <v>79368.867733999999</v>
      </c>
      <c r="E7" s="115">
        <f>KAM!O11</f>
        <v>84954.285587999999</v>
      </c>
      <c r="F7" s="115">
        <f>KAM!P11</f>
        <v>121656.798234</v>
      </c>
      <c r="G7" s="115">
        <f>KAM!M12</f>
        <v>27255.369498</v>
      </c>
      <c r="H7" s="115">
        <f>KAM!N12</f>
        <v>22712.705287000001</v>
      </c>
      <c r="I7" s="115">
        <f>KAM!O12</f>
        <v>22867.230743</v>
      </c>
      <c r="J7" s="115">
        <f>KAM!P12</f>
        <v>50049.029912999998</v>
      </c>
      <c r="L7" s="114" t="s">
        <v>392</v>
      </c>
      <c r="M7" s="121" t="s">
        <v>412</v>
      </c>
      <c r="N7" s="121"/>
      <c r="O7" s="121"/>
      <c r="P7" s="121"/>
      <c r="Q7" s="121"/>
      <c r="R7" s="121"/>
      <c r="S7" s="121"/>
    </row>
    <row r="8" spans="1:19" ht="24.6" customHeight="1" x14ac:dyDescent="0.4">
      <c r="B8" s="114" t="s">
        <v>400</v>
      </c>
      <c r="C8" s="115">
        <f>KSB!M11</f>
        <v>99866.895036999995</v>
      </c>
      <c r="D8" s="115">
        <f>KSB!N11</f>
        <v>73763.656287000005</v>
      </c>
      <c r="E8" s="115">
        <f>KSB!O11</f>
        <v>80251.967564000006</v>
      </c>
      <c r="F8" s="115">
        <f>KSB!P11</f>
        <v>84411.385657000006</v>
      </c>
      <c r="G8" s="115">
        <f>KSB!M12</f>
        <v>45606.719545</v>
      </c>
      <c r="H8" s="115">
        <f>KSB!N12</f>
        <v>2525.6544349999999</v>
      </c>
      <c r="I8" s="115">
        <f>KSB!O12</f>
        <v>4831.3712539999997</v>
      </c>
      <c r="J8" s="115">
        <f>KSB!P12</f>
        <v>5273.0288270000001</v>
      </c>
      <c r="L8" s="114" t="s">
        <v>393</v>
      </c>
      <c r="M8" s="121" t="s">
        <v>405</v>
      </c>
      <c r="N8" s="121"/>
      <c r="O8" s="121"/>
      <c r="P8" s="121"/>
      <c r="Q8" s="121"/>
      <c r="R8" s="121"/>
      <c r="S8" s="121"/>
    </row>
    <row r="9" spans="1:19" ht="24.6" customHeight="1" x14ac:dyDescent="0.4">
      <c r="B9" s="114" t="s">
        <v>401</v>
      </c>
      <c r="C9" s="115">
        <f>KYSB!M11</f>
        <v>68305.342371999999</v>
      </c>
      <c r="D9" s="115">
        <f>KYSB!N11</f>
        <v>51616.426796</v>
      </c>
      <c r="E9" s="115">
        <f>KYSB!O11</f>
        <v>63740.057723999998</v>
      </c>
      <c r="F9" s="115">
        <f>KYSB!P11</f>
        <v>60292.332246999998</v>
      </c>
      <c r="G9" s="115">
        <f>KYSB!M12</f>
        <v>26866.042513</v>
      </c>
      <c r="H9" s="115">
        <f>KYSB!N12</f>
        <v>-5020.4271289999997</v>
      </c>
      <c r="I9" s="115">
        <f>KYSB!O12</f>
        <v>-34467.315255000001</v>
      </c>
      <c r="J9" s="115">
        <f>KYSB!P12</f>
        <v>-9667.560426</v>
      </c>
      <c r="L9" s="114" t="s">
        <v>394</v>
      </c>
      <c r="M9" s="121" t="s">
        <v>405</v>
      </c>
      <c r="N9" s="121"/>
      <c r="O9" s="121"/>
      <c r="P9" s="121"/>
      <c r="Q9" s="121"/>
      <c r="R9" s="121"/>
      <c r="S9" s="121"/>
    </row>
    <row r="10" spans="1:19" ht="24.6" customHeight="1" x14ac:dyDescent="0.4">
      <c r="B10" s="114" t="s">
        <v>395</v>
      </c>
      <c r="C10" s="115">
        <f>KI!M11</f>
        <v>9857.0659240000005</v>
      </c>
      <c r="D10" s="115">
        <f>KI!N11</f>
        <v>14642.290344499999</v>
      </c>
      <c r="E10" s="115">
        <f>KI!O11</f>
        <v>17299.997478500001</v>
      </c>
      <c r="F10" s="115">
        <f>KI!P11</f>
        <v>25507.803025500001</v>
      </c>
      <c r="G10" s="115">
        <f>KI!M12</f>
        <v>2507.8220209999999</v>
      </c>
      <c r="H10" s="115">
        <f>KI!N12</f>
        <v>3318.5673539999998</v>
      </c>
      <c r="I10" s="115">
        <f>KI!O12</f>
        <v>6724.9391690000002</v>
      </c>
      <c r="J10" s="115">
        <f>KI!P12</f>
        <v>14584.158783000001</v>
      </c>
      <c r="L10" s="114" t="s">
        <v>395</v>
      </c>
      <c r="M10" s="121" t="s">
        <v>406</v>
      </c>
      <c r="N10" s="121"/>
      <c r="O10" s="121"/>
      <c r="P10" s="121"/>
      <c r="Q10" s="121"/>
      <c r="R10" s="121"/>
      <c r="S10" s="121"/>
    </row>
    <row r="11" spans="1:19" ht="24.6" customHeight="1" x14ac:dyDescent="0.4">
      <c r="B11" s="114" t="s">
        <v>396</v>
      </c>
      <c r="C11" s="115">
        <f>KPE!M11</f>
        <v>5331.3381689999997</v>
      </c>
      <c r="D11" s="115">
        <f>KPE!N11</f>
        <v>12898.710927</v>
      </c>
      <c r="E11" s="115">
        <f>KPE!O11</f>
        <v>8500.81466</v>
      </c>
      <c r="F11" s="115">
        <f>KPE!P11</f>
        <v>7958.643959</v>
      </c>
      <c r="G11" s="115">
        <f>KPE!M12</f>
        <v>-12696.75596</v>
      </c>
      <c r="H11" s="115">
        <f>KPE!N12</f>
        <v>5089.1688009999998</v>
      </c>
      <c r="I11" s="115">
        <f>KPE!O12</f>
        <v>-420.64939199999998</v>
      </c>
      <c r="J11" s="115">
        <f>KPE!P12</f>
        <v>1200.3747739999999</v>
      </c>
      <c r="L11" s="114" t="s">
        <v>396</v>
      </c>
      <c r="M11" s="121"/>
      <c r="N11" s="121"/>
      <c r="O11" s="121"/>
      <c r="P11" s="121"/>
      <c r="Q11" s="121"/>
      <c r="R11" s="121"/>
      <c r="S11" s="121"/>
    </row>
    <row r="12" spans="1:19" ht="24.6" customHeight="1" x14ac:dyDescent="0.4">
      <c r="B12" s="114" t="s">
        <v>402</v>
      </c>
      <c r="C12" s="115">
        <f>KC!H11</f>
        <v>72646.247979000007</v>
      </c>
      <c r="D12" s="115">
        <f>KC!I11</f>
        <v>57493.259706999997</v>
      </c>
      <c r="E12" s="115">
        <f>KC!J11</f>
        <v>57707.662049999999</v>
      </c>
      <c r="F12" s="115">
        <f>KC!K11</f>
        <v>94122.419888999997</v>
      </c>
      <c r="G12" s="115">
        <f>KC!H12</f>
        <v>43077.642022</v>
      </c>
      <c r="H12" s="115">
        <f>KC!I12</f>
        <v>33476.983675000003</v>
      </c>
      <c r="I12" s="115">
        <f>KC!J12</f>
        <v>40516.306492999996</v>
      </c>
      <c r="J12" s="115">
        <f>KC!K12</f>
        <v>73022.150813</v>
      </c>
      <c r="L12" s="114" t="s">
        <v>397</v>
      </c>
      <c r="M12" s="121" t="s">
        <v>407</v>
      </c>
      <c r="N12" s="121"/>
      <c r="O12" s="121"/>
      <c r="P12" s="121"/>
      <c r="Q12" s="121"/>
      <c r="R12" s="121"/>
      <c r="S12" s="121"/>
    </row>
    <row r="13" spans="1:19" ht="24.6" customHeight="1" x14ac:dyDescent="0.4">
      <c r="B13" s="122" t="s">
        <v>398</v>
      </c>
      <c r="C13" s="123">
        <f>'KFI(연결)'!H11</f>
        <v>44156.900563000003</v>
      </c>
      <c r="D13" s="123">
        <f>'KFI(연결)'!I11</f>
        <v>48747.495390999997</v>
      </c>
      <c r="E13" s="123">
        <f>'KFI(연결)'!J11</f>
        <v>94320.006447000007</v>
      </c>
      <c r="F13" s="123">
        <f>'KFI(연결)'!K11</f>
        <v>140426.95626599999</v>
      </c>
      <c r="G13" s="123">
        <f>'KFI(연결)'!H12</f>
        <v>12024.422812999999</v>
      </c>
      <c r="H13" s="123">
        <f>'KFI(연결)'!I12</f>
        <v>10616.428006</v>
      </c>
      <c r="I13" s="123">
        <f>'KFI(연결)'!J12</f>
        <v>16514.190766</v>
      </c>
      <c r="J13" s="123">
        <f>'KFI(연결)'!K12</f>
        <v>25586.295108999999</v>
      </c>
      <c r="L13" s="122" t="s">
        <v>398</v>
      </c>
      <c r="M13" s="124"/>
      <c r="N13" s="124"/>
      <c r="O13" s="124"/>
      <c r="P13" s="124"/>
      <c r="Q13" s="124"/>
      <c r="R13" s="124"/>
      <c r="S13" s="124"/>
    </row>
    <row r="14" spans="1:19" ht="24.6" customHeight="1" x14ac:dyDescent="0.4">
      <c r="A14" s="111" t="s">
        <v>410</v>
      </c>
      <c r="B14" s="145" t="s">
        <v>429</v>
      </c>
      <c r="C14" s="146">
        <f>SUM(C7:C13,C5)</f>
        <v>1429107.0422459999</v>
      </c>
      <c r="D14" s="146">
        <f t="shared" ref="D14:J14" si="0">SUM(D7:D13,D5)</f>
        <v>1195335.9852405</v>
      </c>
      <c r="E14" s="146">
        <f t="shared" si="0"/>
        <v>1999445.7915115</v>
      </c>
      <c r="F14" s="146">
        <f t="shared" si="0"/>
        <v>2627725.3392775003</v>
      </c>
      <c r="G14" s="146">
        <f t="shared" si="0"/>
        <v>768205.26245200005</v>
      </c>
      <c r="H14" s="146">
        <f t="shared" si="0"/>
        <v>516073.08042900002</v>
      </c>
      <c r="I14" s="146">
        <f t="shared" si="0"/>
        <v>1116488.073778</v>
      </c>
      <c r="J14" s="146">
        <f t="shared" si="0"/>
        <v>1581975.4777929999</v>
      </c>
      <c r="L14" s="117"/>
      <c r="M14" s="121"/>
      <c r="N14" s="121"/>
      <c r="O14" s="121"/>
      <c r="P14" s="121"/>
      <c r="Q14" s="121"/>
      <c r="R14" s="121"/>
      <c r="S14" s="121"/>
    </row>
    <row r="15" spans="1:19" ht="24.6" customHeight="1" x14ac:dyDescent="0.4">
      <c r="B15" s="125" t="s">
        <v>403</v>
      </c>
    </row>
    <row r="16" spans="1:19" ht="24.6" customHeight="1" x14ac:dyDescent="0.4">
      <c r="I16" s="112"/>
      <c r="J16" s="112" t="s">
        <v>53</v>
      </c>
    </row>
    <row r="17" spans="1:10" ht="24.6" customHeight="1" x14ac:dyDescent="0.4">
      <c r="B17" s="133" t="s">
        <v>409</v>
      </c>
      <c r="C17" s="141" t="s">
        <v>390</v>
      </c>
      <c r="D17" s="135"/>
      <c r="E17" s="135"/>
      <c r="F17" s="135"/>
      <c r="G17" s="136" t="s">
        <v>46</v>
      </c>
      <c r="H17" s="136"/>
      <c r="I17" s="136"/>
      <c r="J17" s="136"/>
    </row>
    <row r="18" spans="1:10" ht="24.6" customHeight="1" x14ac:dyDescent="0.4">
      <c r="B18" s="134"/>
      <c r="C18" s="113">
        <v>2022</v>
      </c>
      <c r="D18" s="113">
        <v>2023</v>
      </c>
      <c r="E18" s="113">
        <v>2024</v>
      </c>
      <c r="F18" s="126">
        <v>2025</v>
      </c>
      <c r="G18" s="113">
        <v>2022</v>
      </c>
      <c r="H18" s="113">
        <v>2023</v>
      </c>
      <c r="I18" s="113">
        <v>2024</v>
      </c>
      <c r="J18" s="126">
        <v>2025</v>
      </c>
    </row>
    <row r="19" spans="1:10" ht="24.6" customHeight="1" x14ac:dyDescent="0.4">
      <c r="B19" s="114" t="s">
        <v>410</v>
      </c>
      <c r="C19" s="115">
        <f>C5/100</f>
        <v>10483.1889314</v>
      </c>
      <c r="D19" s="115">
        <f t="shared" ref="D19:I19" si="1">D5/100</f>
        <v>8568.0527805399997</v>
      </c>
      <c r="E19" s="115">
        <f t="shared" si="1"/>
        <v>15926.71</v>
      </c>
      <c r="F19" s="115">
        <f t="shared" ref="F19" si="2">F5/100</f>
        <v>20933.490000000002</v>
      </c>
      <c r="G19" s="115">
        <f t="shared" si="1"/>
        <v>6235.64</v>
      </c>
      <c r="H19" s="115">
        <f t="shared" si="1"/>
        <v>4433.54</v>
      </c>
      <c r="I19" s="115">
        <f t="shared" si="1"/>
        <v>10599.22</v>
      </c>
      <c r="J19" s="115">
        <f t="shared" ref="J19" si="3">J5/100</f>
        <v>14219.28</v>
      </c>
    </row>
    <row r="20" spans="1:10" ht="24.6" customHeight="1" x14ac:dyDescent="0.4">
      <c r="B20" s="118" t="s">
        <v>399</v>
      </c>
      <c r="C20" s="119">
        <f t="shared" ref="C20:I27" si="4">C6/100</f>
        <v>11088.40026058</v>
      </c>
      <c r="D20" s="119">
        <f t="shared" si="4"/>
        <v>9201.7806147800002</v>
      </c>
      <c r="E20" s="119">
        <f t="shared" si="4"/>
        <v>16046.2101487</v>
      </c>
      <c r="F20" s="119">
        <f t="shared" ref="F20" si="5">F6/100</f>
        <v>20384.39013887</v>
      </c>
      <c r="G20" s="119">
        <f t="shared" si="4"/>
        <v>6457.4522215399993</v>
      </c>
      <c r="H20" s="119">
        <f t="shared" si="4"/>
        <v>4723.8596071900001</v>
      </c>
      <c r="I20" s="119">
        <f t="shared" si="4"/>
        <v>10247.32993797</v>
      </c>
      <c r="J20" s="119">
        <f t="shared" ref="J20" si="6">J6/100</f>
        <v>13254.577755960001</v>
      </c>
    </row>
    <row r="21" spans="1:10" ht="24.6" customHeight="1" x14ac:dyDescent="0.4">
      <c r="B21" s="114" t="s">
        <v>392</v>
      </c>
      <c r="C21" s="115">
        <f t="shared" si="4"/>
        <v>806.24359062000008</v>
      </c>
      <c r="D21" s="115">
        <f t="shared" si="4"/>
        <v>793.68867734000003</v>
      </c>
      <c r="E21" s="115">
        <f t="shared" si="4"/>
        <v>849.54285587999993</v>
      </c>
      <c r="F21" s="115">
        <f t="shared" ref="F21" si="7">F7/100</f>
        <v>1216.5679823400001</v>
      </c>
      <c r="G21" s="115">
        <f t="shared" si="4"/>
        <v>272.55369497999999</v>
      </c>
      <c r="H21" s="115">
        <f t="shared" si="4"/>
        <v>227.12705287</v>
      </c>
      <c r="I21" s="115">
        <f t="shared" si="4"/>
        <v>228.67230742999999</v>
      </c>
      <c r="J21" s="115">
        <f t="shared" ref="J21" si="8">J7/100</f>
        <v>500.49029912999998</v>
      </c>
    </row>
    <row r="22" spans="1:10" ht="24.6" customHeight="1" x14ac:dyDescent="0.4">
      <c r="B22" s="114" t="s">
        <v>400</v>
      </c>
      <c r="C22" s="115">
        <f t="shared" si="4"/>
        <v>998.66895036999995</v>
      </c>
      <c r="D22" s="115">
        <f t="shared" si="4"/>
        <v>737.63656287000003</v>
      </c>
      <c r="E22" s="115">
        <f t="shared" si="4"/>
        <v>802.51967564000006</v>
      </c>
      <c r="F22" s="115">
        <f t="shared" ref="F22" si="9">F8/100</f>
        <v>844.11385657000005</v>
      </c>
      <c r="G22" s="115">
        <f t="shared" si="4"/>
        <v>456.06719544999999</v>
      </c>
      <c r="H22" s="115">
        <f t="shared" si="4"/>
        <v>25.256544349999999</v>
      </c>
      <c r="I22" s="115">
        <f t="shared" si="4"/>
        <v>48.313712539999997</v>
      </c>
      <c r="J22" s="115">
        <f t="shared" ref="J22" si="10">J8/100</f>
        <v>52.730288270000003</v>
      </c>
    </row>
    <row r="23" spans="1:10" ht="24.6" customHeight="1" x14ac:dyDescent="0.4">
      <c r="B23" s="114" t="s">
        <v>401</v>
      </c>
      <c r="C23" s="115">
        <f t="shared" si="4"/>
        <v>683.05342371999996</v>
      </c>
      <c r="D23" s="115">
        <f t="shared" si="4"/>
        <v>516.16426795999996</v>
      </c>
      <c r="E23" s="115">
        <f t="shared" si="4"/>
        <v>637.40057723999996</v>
      </c>
      <c r="F23" s="115">
        <f t="shared" ref="F23" si="11">F9/100</f>
        <v>602.92332247000002</v>
      </c>
      <c r="G23" s="115">
        <f t="shared" si="4"/>
        <v>268.66042513000002</v>
      </c>
      <c r="H23" s="115">
        <f t="shared" si="4"/>
        <v>-50.204271289999994</v>
      </c>
      <c r="I23" s="115">
        <f t="shared" si="4"/>
        <v>-344.67315255</v>
      </c>
      <c r="J23" s="115">
        <f t="shared" ref="J23" si="12">J9/100</f>
        <v>-96.67560426</v>
      </c>
    </row>
    <row r="24" spans="1:10" ht="24.6" customHeight="1" x14ac:dyDescent="0.4">
      <c r="B24" s="114" t="s">
        <v>395</v>
      </c>
      <c r="C24" s="115">
        <f t="shared" si="4"/>
        <v>98.570659239999998</v>
      </c>
      <c r="D24" s="115">
        <f t="shared" si="4"/>
        <v>146.422903445</v>
      </c>
      <c r="E24" s="115">
        <f t="shared" si="4"/>
        <v>172.99997478500001</v>
      </c>
      <c r="F24" s="115">
        <f t="shared" ref="F24" si="13">F10/100</f>
        <v>255.07803025500002</v>
      </c>
      <c r="G24" s="115">
        <f t="shared" si="4"/>
        <v>25.078220209999998</v>
      </c>
      <c r="H24" s="115">
        <f t="shared" si="4"/>
        <v>33.185673539999996</v>
      </c>
      <c r="I24" s="115">
        <f t="shared" si="4"/>
        <v>67.249391689999996</v>
      </c>
      <c r="J24" s="115">
        <f t="shared" ref="J24" si="14">J10/100</f>
        <v>145.84158783000001</v>
      </c>
    </row>
    <row r="25" spans="1:10" ht="24.6" customHeight="1" x14ac:dyDescent="0.4">
      <c r="B25" s="114" t="s">
        <v>396</v>
      </c>
      <c r="C25" s="115">
        <f t="shared" si="4"/>
        <v>53.31338169</v>
      </c>
      <c r="D25" s="115">
        <f t="shared" si="4"/>
        <v>128.98710926999999</v>
      </c>
      <c r="E25" s="115">
        <f t="shared" si="4"/>
        <v>85.008146600000003</v>
      </c>
      <c r="F25" s="115">
        <f t="shared" ref="F25" si="15">F11/100</f>
        <v>79.586439589999998</v>
      </c>
      <c r="G25" s="115">
        <f t="shared" si="4"/>
        <v>-126.9675596</v>
      </c>
      <c r="H25" s="115">
        <f t="shared" si="4"/>
        <v>50.891688009999996</v>
      </c>
      <c r="I25" s="115">
        <f t="shared" si="4"/>
        <v>-4.2064939199999998</v>
      </c>
      <c r="J25" s="115">
        <f t="shared" ref="J25" si="16">J11/100</f>
        <v>12.00374774</v>
      </c>
    </row>
    <row r="26" spans="1:10" ht="24.6" customHeight="1" x14ac:dyDescent="0.4">
      <c r="B26" s="114" t="s">
        <v>402</v>
      </c>
      <c r="C26" s="115">
        <f t="shared" si="4"/>
        <v>726.46247979000009</v>
      </c>
      <c r="D26" s="115">
        <f t="shared" si="4"/>
        <v>574.93259706999993</v>
      </c>
      <c r="E26" s="115">
        <f t="shared" si="4"/>
        <v>577.07662049999999</v>
      </c>
      <c r="F26" s="115">
        <f t="shared" ref="F26" si="17">F12/100</f>
        <v>941.22419889000003</v>
      </c>
      <c r="G26" s="115">
        <f t="shared" si="4"/>
        <v>430.77642021999998</v>
      </c>
      <c r="H26" s="115">
        <f t="shared" si="4"/>
        <v>334.76983675000002</v>
      </c>
      <c r="I26" s="115">
        <f t="shared" si="4"/>
        <v>405.16306492999996</v>
      </c>
      <c r="J26" s="115">
        <f t="shared" ref="J26" si="18">J12/100</f>
        <v>730.22150812999996</v>
      </c>
    </row>
    <row r="27" spans="1:10" ht="24.6" customHeight="1" x14ac:dyDescent="0.4">
      <c r="B27" s="122" t="s">
        <v>398</v>
      </c>
      <c r="C27" s="123">
        <f t="shared" si="4"/>
        <v>441.56900563000005</v>
      </c>
      <c r="D27" s="123">
        <f t="shared" si="4"/>
        <v>487.47495390999995</v>
      </c>
      <c r="E27" s="123">
        <f t="shared" si="4"/>
        <v>943.20006447000003</v>
      </c>
      <c r="F27" s="123">
        <f t="shared" ref="F27" si="19">F13/100</f>
        <v>1404.26956266</v>
      </c>
      <c r="G27" s="123">
        <f t="shared" si="4"/>
        <v>120.24422813</v>
      </c>
      <c r="H27" s="123">
        <f t="shared" si="4"/>
        <v>106.16428006</v>
      </c>
      <c r="I27" s="123">
        <f t="shared" si="4"/>
        <v>165.14190765999999</v>
      </c>
      <c r="J27" s="123">
        <f t="shared" ref="J27" si="20">J13/100</f>
        <v>255.86295109</v>
      </c>
    </row>
    <row r="28" spans="1:10" ht="24.6" customHeight="1" x14ac:dyDescent="0.4">
      <c r="A28" s="111" t="s">
        <v>410</v>
      </c>
      <c r="B28" s="145" t="s">
        <v>429</v>
      </c>
      <c r="C28" s="146">
        <f>SUM(C21:C27,C19)</f>
        <v>14291.070422459999</v>
      </c>
      <c r="D28" s="146">
        <f t="shared" ref="D28" si="21">SUM(D21:D27,D19)</f>
        <v>11953.359852404999</v>
      </c>
      <c r="E28" s="146">
        <f t="shared" ref="E28" si="22">SUM(E21:E27,E19)</f>
        <v>19994.457915114999</v>
      </c>
      <c r="F28" s="146">
        <f t="shared" ref="F28" si="23">SUM(F21:F27,F19)</f>
        <v>26277.253392775001</v>
      </c>
      <c r="G28" s="146">
        <f t="shared" ref="G28" si="24">SUM(G21:G27,G19)</f>
        <v>7682.0526245199999</v>
      </c>
      <c r="H28" s="146">
        <f t="shared" ref="H28" si="25">SUM(H21:H27,H19)</f>
        <v>5160.7308042900004</v>
      </c>
      <c r="I28" s="146">
        <f t="shared" ref="I28" si="26">SUM(I21:I27,I19)</f>
        <v>11164.880737779999</v>
      </c>
      <c r="J28" s="146">
        <f t="shared" ref="J28" si="27">SUM(J21:J27,J19)</f>
        <v>15819.75477793</v>
      </c>
    </row>
    <row r="29" spans="1:10" ht="24.6" customHeight="1" x14ac:dyDescent="0.4">
      <c r="B29" s="125" t="s">
        <v>403</v>
      </c>
    </row>
  </sheetData>
  <mergeCells count="8">
    <mergeCell ref="B3:B4"/>
    <mergeCell ref="B17:B18"/>
    <mergeCell ref="M3:S4"/>
    <mergeCell ref="L3:L4"/>
    <mergeCell ref="C3:F3"/>
    <mergeCell ref="G3:J3"/>
    <mergeCell ref="C17:F17"/>
    <mergeCell ref="G17:J17"/>
  </mergeCells>
  <phoneticPr fontId="3" type="noConversion"/>
  <pageMargins left="0.7" right="0.7" top="0.75" bottom="0.75" header="0.3" footer="0.3"/>
  <pageSetup paperSize="9" scale="52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9</vt:i4>
      </vt:variant>
      <vt:variant>
        <vt:lpstr>이름 지정된 범위</vt:lpstr>
      </vt:variant>
      <vt:variant>
        <vt:i4>1</vt:i4>
      </vt:variant>
    </vt:vector>
  </HeadingPairs>
  <TitlesOfParts>
    <vt:vector size="10" baseType="lpstr">
      <vt:lpstr>KS</vt:lpstr>
      <vt:lpstr>KAM</vt:lpstr>
      <vt:lpstr>KSB</vt:lpstr>
      <vt:lpstr>KYSB</vt:lpstr>
      <vt:lpstr>KI</vt:lpstr>
      <vt:lpstr>KPE</vt:lpstr>
      <vt:lpstr>KC</vt:lpstr>
      <vt:lpstr>KFI(연결)</vt:lpstr>
      <vt:lpstr>금융_통합</vt:lpstr>
      <vt:lpstr>금융_통합!Print_Area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2025-08-05T00:29:34Z</cp:lastPrinted>
  <dcterms:created xsi:type="dcterms:W3CDTF">2025-04-11T04:38:42Z</dcterms:created>
  <dcterms:modified xsi:type="dcterms:W3CDTF">2026-03-26T06:15:22Z</dcterms:modified>
</cp:coreProperties>
</file>
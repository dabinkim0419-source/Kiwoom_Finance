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8e623b3bf968bc4/바탕 화면/"/>
    </mc:Choice>
  </mc:AlternateContent>
  <xr:revisionPtr revIDLastSave="0" documentId="8_{9FF3A0D5-26E1-4137-9DEA-57BF9C55B640}" xr6:coauthVersionLast="47" xr6:coauthVersionMax="47" xr10:uidLastSave="{00000000-0000-0000-0000-000000000000}"/>
  <bookViews>
    <workbookView xWindow="-120" yWindow="-120" windowWidth="38640" windowHeight="21120" activeTab="1" xr2:uid="{E6ADB970-2D26-4FC3-9535-F125EDD9ADC3}"/>
  </bookViews>
  <sheets>
    <sheet name="1. 재무상태표" sheetId="1" r:id="rId1"/>
    <sheet name="2. 손익계산서" sheetId="2" r:id="rId2"/>
  </sheets>
  <externalReferences>
    <externalReference r:id="rId3"/>
  </externalReferences>
  <definedNames>
    <definedName name="__IntlFixup" hidden="1">TRUE</definedName>
    <definedName name="_122국순당͠_00̃က" hidden="1">#N/A</definedName>
    <definedName name="_123국제거래͠_00ᄃက_0" hidden="1">#N/A</definedName>
    <definedName name="_141ㄴㅇ͠_00" hidden="1">#N/A</definedName>
    <definedName name="_160동방͠_00" hidden="1">#N/A</definedName>
    <definedName name="_161동방1͠_00" hidden="1">#N/A</definedName>
    <definedName name="_175반기조정후이연법인세͠_00_က_000_000Ѐ0000" hidden="1">#N/A</definedName>
    <definedName name="_176반기차이조정후수정분개͠_00ᄃက_000_000Ѐ_000_Ā1" hidden="1">#N/A</definedName>
    <definedName name="_224요약fs͠_00" hidden="1">#N/A</definedName>
    <definedName name="_225원천납부8͠_00_က_0" hidden="1">#N/A</definedName>
    <definedName name="_226월별͠_00" hidden="1">#N/A</definedName>
    <definedName name="_235접대비͠_00ᘃက" hidden="1">#N/A</definedName>
    <definedName name="_244조정표지͠300㌃က_0" hidden="1">#N/A</definedName>
    <definedName name="_264최종검진수가㭠000_Ѐ_000Ą0" hidden="1">#N/A</definedName>
    <definedName name="_273퇴충명세͠_00㰃က_0" hidden="1">#N/A</definedName>
    <definedName name="_280평균이자__ÿ_쀀각비" hidden="1">#N/A</definedName>
    <definedName name="_281표지͠_00" hidden="1">#N/A</definedName>
    <definedName name="_282표지조정͠_00㰃က_0" hidden="1">#N/A</definedName>
    <definedName name="_302ACwvu.시간대별예약._0Ѐ0000ം0杁湩" hidden="1">#N/A</definedName>
    <definedName name="_335Cwvu.시간대별예약._唀歮潮湷传数慲潴_〲0" hidden="1">#N/A</definedName>
    <definedName name="_374Swvu.시간대별예약._戃က_000_000Ѐ" hidden="1">#N/A</definedName>
    <definedName name="_380wrn.간단한세무조정계산서.͠_00ᄃက_000_000Ѐ_000" hidden="1">#N/A</definedName>
    <definedName name="_381wrn.세무조정계산서.͠300㌃က_000_000" hidden="1">#N/A</definedName>
    <definedName name="_382wrn.세무조정모든양식.͠_00㰃က_000_000Ѐ" hidden="1">#N/A</definedName>
    <definedName name="_383wrn.조흥94세무.͠700㜃က_0" hidden="1">#N/A</definedName>
    <definedName name="_384wrn.조흥축약94.͠_00_က_0" hidden="1">#N/A</definedName>
    <definedName name="_385wrn.COSA._.FS._.국문.͠_00" hidden="1">#N/A</definedName>
    <definedName name="_386wvu.시간대별예약.㭠000_Ѐ_000Ą0" hidden="1">#N/A</definedName>
    <definedName name="_93_0_????_0__唀歮潮湷传数慲" hidden="1">#N/A</definedName>
    <definedName name="_Dist_Bin" hidden="1">#N/A</definedName>
    <definedName name="_xlnm._FilterDatabase" hidden="1">#REF!</definedName>
    <definedName name="_MatMult_A" hidden="1">#N/A</definedName>
    <definedName name="_MatMult_AxB" hidden="1">#N/A</definedName>
    <definedName name="_Order1" hidden="1">255</definedName>
    <definedName name="_Order2" hidden="1">255</definedName>
    <definedName name="_Parse_In" hidden="1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#REF!</definedName>
    <definedName name="_Table1_In1" hidden="1">#REF!</definedName>
    <definedName name="_Table1_Out" hidden="1">#REF!</definedName>
    <definedName name="_재" hidden="1">#N/A</definedName>
    <definedName name="\a">#N/A</definedName>
    <definedName name="\b">#N/A</definedName>
    <definedName name="AA">"개별재무제표감사"</definedName>
    <definedName name="AB">"외감법"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"c:\wiz32\xl\acclink.mdb"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nscount" hidden="1">2</definedName>
    <definedName name="arb">#REF!,#REF!</definedName>
    <definedName name="arta">#REF!,#REF!</definedName>
    <definedName name="artb">#REF!,#REF!</definedName>
    <definedName name="AS2DocOpenMode" hidden="1">"AS2DocumentEdit"</definedName>
    <definedName name="AS2HasNoAutoHeaderFooter" hidden="1">" "</definedName>
    <definedName name="AS2LinkLS" hidden="1">#REF!</definedName>
    <definedName name="AS2ReportLS" hidden="1">1</definedName>
    <definedName name="AS2SyncStepLS" hidden="1">0</definedName>
    <definedName name="AS2VersionLS" hidden="1">300</definedName>
    <definedName name="bca">#REF!,#REF!,#REF!,#REF!,#REF!,#REF!,#REF!</definedName>
    <definedName name="bcb">#REF!,#REF!,#REF!,#REF!,#REF!,#REF!,#REF!</definedName>
    <definedName name="bcc">#REF!,#REF!,#REF!,#REF!,#REF!,#REF!,#REF!</definedName>
    <definedName name="bcd">#REF!,#REF!,#REF!,#REF!,#REF!,#REF!,#REF!</definedName>
    <definedName name="bce">#REF!,#REF!,#REF!,#REF!,#REF!,#REF!,#REF!</definedName>
    <definedName name="bcf">#REF!,#REF!,#REF!,#REF!,#REF!,#REF!,#REF!</definedName>
    <definedName name="bcg">#REF!,#REF!,#REF!,#REF!,#REF!,#REF!,#REF!</definedName>
    <definedName name="bch">#REF!,#REF!,#REF!,#REF!,#REF!,#REF!,#REF!</definedName>
    <definedName name="bci">#REF!,#REF!,#REF!,#REF!,#REF!,#REF!,#REF!</definedName>
    <definedName name="bcj">#REF!,#REF!,#REF!,#REF!,#REF!,#REF!,#REF!</definedName>
    <definedName name="bck">#REF!,#REF!,#REF!,#REF!,#REF!,#REF!,#REF!</definedName>
    <definedName name="bcl">#REF!,#REF!,#REF!,#REF!,#REF!,#REF!,#REF!</definedName>
    <definedName name="bcm">#REF!,#REF!,#REF!,#REF!,#REF!,#REF!,#REF!</definedName>
    <definedName name="bcn">#REF!,#REF!,#REF!,#REF!,#REF!,#REF!,#REF!</definedName>
    <definedName name="bco">#REF!,#REF!,#REF!,#REF!,#REF!,#REF!,#REF!</definedName>
    <definedName name="bcp">#REF!,#REF!,#REF!,#REF!,#REF!,#REF!,#REF!</definedName>
    <definedName name="BG_Del" hidden="1">15</definedName>
    <definedName name="BG_Ins" hidden="1">4</definedName>
    <definedName name="BG_Mod" hidden="1">6</definedName>
    <definedName name="bka">#REF!,#REF!,#REF!,#REF!,#REF!,#REF!,#REF!,#REF!,#REF!,#REF!,#REF!,#REF!</definedName>
    <definedName name="bkb">#REF!,#REF!,#REF!,#REF!,#REF!,#REF!,#REF!,#REF!,#REF!</definedName>
    <definedName name="bkc">#REF!,#REF!,#REF!,#REF!,#REF!,#REF!</definedName>
    <definedName name="cbs" hidden="1">#REF!</definedName>
    <definedName name="ChangeRange" hidden="1">#REF!</definedName>
    <definedName name="clt">#REF!</definedName>
    <definedName name="ContentsHelp" hidden="1">#REF!</definedName>
    <definedName name="CreateTable" hidden="1">#REF!</definedName>
    <definedName name="DeleteRange" hidden="1">#REF!</definedName>
    <definedName name="DeleteTable" hidden="1">#REF!</definedName>
    <definedName name="dt">#REF!</definedName>
    <definedName name="EV__LASTREFTIME__" hidden="1">38364.4125925926</definedName>
    <definedName name="fildata" hidden="1">#REF!</definedName>
    <definedName name="fjdi0s" hidden="1">#N/A</definedName>
    <definedName name="HJKOL" hidden="1">#N/A</definedName>
    <definedName name="Hmacro">#REF!</definedName>
    <definedName name="HTML_CodePage" hidden="1">1252</definedName>
    <definedName name="HTML_Description" hidden="1">""</definedName>
    <definedName name="HTML_Email" hidden="1">""</definedName>
    <definedName name="HTML_Header" hidden="1">"360068"</definedName>
    <definedName name="HTML_LastUpdate" hidden="1">"8/25/99"</definedName>
    <definedName name="HTML_LineAfter" hidden="1">FALSE</definedName>
    <definedName name="HTML_LineBefore" hidden="1">FALSE</definedName>
    <definedName name="HTML_Name" hidden="1">"zhunancy"</definedName>
    <definedName name="HTML_OBDlg2" hidden="1">TRUE</definedName>
    <definedName name="HTML_OBDlg4" hidden="1">TRUE</definedName>
    <definedName name="HTML_OS" hidden="1">0</definedName>
    <definedName name="HTML_PathFile" hidden="1">"W:\htdocs\iden_finance\newpage\99PROMOTION.htm"</definedName>
    <definedName name="HTML_Title" hidden="1">"360068JUL"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JHY" hidden="1">#N/A</definedName>
    <definedName name="JJJJ" hidden="1">#N/A</definedName>
    <definedName name="JUU" hidden="1">#N/A</definedName>
    <definedName name="JW">36250</definedName>
    <definedName name="ktft" hidden="1">3</definedName>
    <definedName name="ll" hidden="1">#N/A</definedName>
    <definedName name="m" hidden="1">#REF!</definedName>
    <definedName name="MerrillPrintIt" hidden="1">#REF!</definedName>
    <definedName name="NewRange" hidden="1">#REF!</definedName>
    <definedName name="Order" hidden="1">0</definedName>
    <definedName name="Paging" hidden="1">#REF!</definedName>
    <definedName name="_xlnm.Print_Area" localSheetId="0">'1. 재무상태표'!$A$1:$G$110</definedName>
    <definedName name="_xlnm.Print_Area" localSheetId="1">'2. 손익계산서'!$A$1:$K$102</definedName>
    <definedName name="_xlnm.Print_Titles">#REF!</definedName>
    <definedName name="RedefinePrintTableRange" hidden="1">#REF!</definedName>
    <definedName name="rews" hidden="1">#N/A</definedName>
    <definedName name="RRR" hidden="1">#REF!</definedName>
    <definedName name="rtd">#REF!,#REF!,#REF!</definedName>
    <definedName name="SAPBEXdnldView" hidden="1">"3Y07G9B92E6GJNCTXC2Y6C55H"</definedName>
    <definedName name="SAPBEXrevision" hidden="1">1</definedName>
    <definedName name="SAPBEXsysID" hidden="1">"BWP"</definedName>
    <definedName name="SAPBEXwbID" hidden="1">"42EOBBR0ESV7SIVXR0TWAHCYG"</definedName>
    <definedName name="sencount" hidden="1">1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rel1" hidden="1">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1</definedName>
    <definedName name="solver_val" hidden="1">0</definedName>
    <definedName name="talb">#REF!,#REF!,#REF!</definedName>
    <definedName name="teww" hidden="1">#N/A</definedName>
    <definedName name="TextRefCopyRangeCount" hidden="1">4</definedName>
    <definedName name="tggf" hidden="1">#N/A</definedName>
    <definedName name="tthh" hidden="1">#N/A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wa">#REF!,#REF!</definedName>
    <definedName name="wc">#REF!,#REF!,#REF!,#REF!,#REF!,#REF!,#REF!,#REF!,#REF!,#REF!,#REF!</definedName>
    <definedName name="wd">#REF!,#REF!,#REF!,#REF!,#REF!,#REF!,#REF!,#REF!,#REF!,#REF!,#REF!,#REF!,#REF!,#REF!</definedName>
    <definedName name="we">#REF!,#REF!,#REF!,#REF!,#REF!</definedName>
    <definedName name="wew" hidden="1">#REF!</definedName>
    <definedName name="wfa">#REF!,#REF!,#REF!,#REF!,#REF!,#REF!,#REF!,#REF!,#REF!,#REF!,#REF!,#REF!</definedName>
    <definedName name="wg">#REF!,#REF!,#REF!,#REF!</definedName>
    <definedName name="wh">#REF!,#REF!,#REF!,#REF!,#REF!,#REF!</definedName>
    <definedName name="whi">#REF!,#REF!</definedName>
    <definedName name="wj">#REF!,#REF!,#REF!,#REF!</definedName>
    <definedName name="wk">#REF!,#REF!</definedName>
    <definedName name="wl">#REF!,#REF!</definedName>
    <definedName name="wm">#REF!,#REF!,#REF!,#REF!</definedName>
    <definedName name="wn">#REF!,#REF!,#REF!,#REF!</definedName>
    <definedName name="wna">#REF!,#REF!,#REF!,#REF!,#REF!,#REF!,#REF!,#REF!</definedName>
    <definedName name="wo">#REF!,#REF!,#REF!,#REF!,#REF!,#REF!,#REF!,#REF!,#REF!,#REF!,#REF!</definedName>
    <definedName name="woa">#REF!,#REF!,#REF!,#REF!,#REF!,#REF!,#REF!,#REF!,#REF!</definedName>
    <definedName name="woaa">#REF!,#REF!,#REF!</definedName>
    <definedName name="woab">#REF!,#REF!,#REF!</definedName>
    <definedName name="woac">#REF!,#REF!,#REF!</definedName>
    <definedName name="woad">#REF!,#REF!,#REF!</definedName>
    <definedName name="woae">#REF!,#REF!,#REF!</definedName>
    <definedName name="woaf">#REF!,#REF!,#REF!</definedName>
    <definedName name="woag">#REF!,#REF!,#REF!</definedName>
    <definedName name="woah">#REF!,#REF!,#REF!</definedName>
    <definedName name="wob">#REF!,#REF!,#REF!,#REF!,#REF!,#REF!,#REF!,#REF!,#REF!</definedName>
    <definedName name="wp">#REF!,#REF!,#REF!,#REF!,#REF!,#REF!,#REF!,#REF!,#REF!,#REF!,#REF!,#REF!,#REF!,#REF!</definedName>
    <definedName name="wpa">#REF!,#REF!,#REF!,#REF!,#REF!,#REF!,#REF!,#REF!,#REF!,#REF!,#REF!,#REF!,#REF!,#REF!</definedName>
    <definedName name="wpb">#REF!,#REF!</definedName>
    <definedName name="wqa">#REF!,#REF!,#REF!,#REF!,#REF!,#REF!,#REF!,#REF!,#REF!</definedName>
    <definedName name="wqb">#REF!,#REF!,#REF!,#REF!,#REF!,#REF!,#REF!,#REF!,#REF!</definedName>
    <definedName name="wqc">#REF!,#REF!,#REF!,#REF!,#REF!,#REF!,#REF!,#REF!,#REF!</definedName>
    <definedName name="wqd">#REF!,#REF!,#REF!,#REF!,#REF!,#REF!,#REF!,#REF!,#REF!</definedName>
    <definedName name="wqe">#REF!,#REF!,#REF!,#REF!,#REF!,#REF!,#REF!,#REF!,#REF!</definedName>
    <definedName name="wqr">#REF!,#REF!,#REF!,#REF!,#REF!,#REF!</definedName>
    <definedName name="wr">#REF!,#REF!,#REF!,#REF!,#REF!,#REF!</definedName>
    <definedName name="wra">#REF!,#REF!,#REF!</definedName>
    <definedName name="wrn.세무͠300" hidden="1">#N/A</definedName>
    <definedName name="wsa">#REF!,#REF!,#REF!,#REF!,#REF!,#REF!,#REF!,#REF!,#REF!,#REF!,#REF!,#REF!</definedName>
    <definedName name="wsb">#REF!,#REF!,#REF!,#REF!,#REF!,#REF!,#REF!,#REF!,#REF!,#REF!</definedName>
    <definedName name="wsc">#REF!,#REF!,#REF!,#REF!,#REF!,#REF!,#REF!,#REF!,#REF!,#REF!</definedName>
    <definedName name="wsd">#REF!,#REF!,#REF!,#REF!,#REF!,#REF!,#REF!,#REF!,#REF!,#REF!</definedName>
    <definedName name="wse">#REF!,#REF!,#REF!,#REF!,#REF!,#REF!,#REF!,#REF!,#REF!,#REF!</definedName>
    <definedName name="wt">#REF!,#REF!</definedName>
    <definedName name="wu">#REF!,#REF!</definedName>
    <definedName name="wv">#REF!,#REF!,#REF!,#REF!,#REF!,#REF!,#REF!,#REF!,#REF!,#REF!,#REF!</definedName>
    <definedName name="ww">#REF!,#REF!</definedName>
    <definedName name="wx">#REF!,#REF!,#REF!,#REF!</definedName>
    <definedName name="wya">#REF!,#REF!,#REF!,#REF!,#REF!,#REF!,#REF!,#REF!,#REF!,#REF!,#REF!</definedName>
    <definedName name="wyaq">#REF!,#REF!,#REF!</definedName>
    <definedName name="wz">#REF!,#REF!,#REF!,#REF!,#REF!,#REF!,#REF!,#REF!,#REF!</definedName>
    <definedName name="wza">#REF!,#REF!,#REF!,#REF!,#REF!,#REF!,#REF!,#REF!,#REF!,#REF!,#REF!</definedName>
    <definedName name="wzaz">#REF!,#REF!,#REF!</definedName>
    <definedName name="wzb">#REF!,#REF!,#REF!</definedName>
    <definedName name="wzba">#REF!,#REF!,#REF!,#REF!,#REF!,#REF!,#REF!,#REF!,#REF!,#REF!,#REF!</definedName>
    <definedName name="wzbb">#REF!,#REF!,#REF!,#REF!,#REF!,#REF!,#REF!,#REF!,#REF!,#REF!,#REF!</definedName>
    <definedName name="wzc">#REF!,#REF!,#REF!,#REF!,#REF!,#REF!,#REF!,#REF!,#REF!,#REF!,#REF!,#REF!</definedName>
    <definedName name="wzd">#REF!,#REF!,#REF!,#REF!,#REF!,#REF!,#REF!,#REF!,#REF!,#REF!,#REF!,#REF!,#REF!,#REF!,#REF!,#REF!</definedName>
    <definedName name="wzf">#REF!,#REF!,#REF!,#REF!,#REF!,#REF!</definedName>
    <definedName name="wzg">#REF!,#REF!,#REF!,#REF!,#REF!,#REF!,#REF!,#REF!,#REF!,#REF!</definedName>
    <definedName name="wzh">#REF!,#REF!,#REF!,#REF!,#REF!,#REF!,#REF!</definedName>
    <definedName name="wzi">#REF!,#REF!,#REF!,#REF!,#REF!,#REF!,#REF!,#REF!</definedName>
    <definedName name="XREF_COLUMN_16" hidden="1">#N/A</definedName>
    <definedName name="XREF_COLUMN_18" hidden="1">#N/A</definedName>
    <definedName name="XREF_COLUMN_20" hidden="1">#N/A</definedName>
    <definedName name="XREF_COLUMN_22" hidden="1">#REF!</definedName>
    <definedName name="XREF_COLUMN_23" hidden="1">#N/A</definedName>
    <definedName name="XREF_COLUMN_25" hidden="1">#REF!</definedName>
    <definedName name="XREF_COLUMN_26" hidden="1">#REF!</definedName>
    <definedName name="XREF_COLUMN_27" hidden="1">#REF!</definedName>
    <definedName name="XREF_COLUMN_28" hidden="1">#REF!</definedName>
    <definedName name="XREF_COLUMN_29" hidden="1">#REF!</definedName>
    <definedName name="XREF_COLUMN_30" hidden="1">#REF!</definedName>
    <definedName name="XREF_COLUMN_31" hidden="1">#REF!</definedName>
    <definedName name="XREF_COLUMN_33" hidden="1">#REF!</definedName>
    <definedName name="XREF_COLUMN_34" hidden="1">#N/A</definedName>
    <definedName name="XREF_COLUMN_35" hidden="1">#REF!</definedName>
    <definedName name="XREF_COLUMN_36" hidden="1">#N/A</definedName>
    <definedName name="XREF_COLUMN_38" hidden="1">#REF!</definedName>
    <definedName name="XREF_COLUMN_39" hidden="1">#REF!</definedName>
    <definedName name="XREF_COLUMN_40" hidden="1">#REF!</definedName>
    <definedName name="XREF_COLUMN_41" hidden="1">#REF!</definedName>
    <definedName name="XREF_COLUMN_42" hidden="1">#REF!</definedName>
    <definedName name="XREF_COLUMN_43" hidden="1">#REF!</definedName>
    <definedName name="XREF_COLUMN_44" hidden="1">#REF!</definedName>
    <definedName name="XREF_COLUMN_45" hidden="1">#REF!</definedName>
    <definedName name="XREF_COLUMN_47" hidden="1">#REF!</definedName>
    <definedName name="XREF_COLUMN_48" hidden="1">#REF!</definedName>
    <definedName name="XREF_COLUMN_49" hidden="1">#REF!</definedName>
    <definedName name="XREF_COLUMN_50" hidden="1">#REF!</definedName>
    <definedName name="XREF_COLUMN_51" hidden="1">#REF!</definedName>
    <definedName name="XREF_COLUMN_52" hidden="1">#REF!</definedName>
    <definedName name="XREF_COLUMN_53" hidden="1">#REF!</definedName>
    <definedName name="XREF_COLUMN_55" hidden="1">#REF!</definedName>
    <definedName name="XREF_COLUMN_57" hidden="1">#REF!</definedName>
    <definedName name="XREF_COLUMN_58" hidden="1">#REF!</definedName>
    <definedName name="XREF_COLUMN_59" hidden="1">#REF!</definedName>
    <definedName name="XREF_COLUMN_61" hidden="1">#REF!</definedName>
    <definedName name="XREF_COLUMN_62" hidden="1">#REF!</definedName>
    <definedName name="XREF_COLUMN_63" hidden="1">#REF!</definedName>
    <definedName name="XREF_COLUMN_64" hidden="1">#REF!</definedName>
    <definedName name="XREF_COLUMN_65" hidden="1">#REF!</definedName>
    <definedName name="XREF_COLUMN_66" hidden="1">#REF!</definedName>
    <definedName name="XREF_COLUMN_67" hidden="1">#REF!</definedName>
    <definedName name="XREF_COLUMN_68" hidden="1">#REF!</definedName>
    <definedName name="XREF_COLUMN_69" hidden="1">#REF!</definedName>
    <definedName name="XREF_COLUMN_70" hidden="1">#REF!</definedName>
    <definedName name="XREF_COLUMN_71" hidden="1">#REF!</definedName>
    <definedName name="XREF_COLUMN_72" hidden="1">#REF!</definedName>
    <definedName name="XREF_COLUMN_73" hidden="1">#REF!</definedName>
    <definedName name="XREF_COLUMN_74" hidden="1">#REF!</definedName>
    <definedName name="XREF_COLUMN_75" hidden="1">#REF!</definedName>
    <definedName name="XREF_COLUMN_76" hidden="1">#REF!</definedName>
    <definedName name="XRefColumnsCount" hidden="1">1</definedName>
    <definedName name="XRefCopy101Row" hidden="1">#N/A</definedName>
    <definedName name="XRefCopy104Row" hidden="1">#N/A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2Row" hidden="1">#N/A</definedName>
    <definedName name="XRefCopy123Row" hidden="1">#N/A</definedName>
    <definedName name="XRefCopy12Row" hidden="1">#N/A</definedName>
    <definedName name="XRefCopy13Row" hidden="1">#N/A</definedName>
    <definedName name="XRefCopy14Row" hidden="1">#N/A</definedName>
    <definedName name="XRefCopy15Row" hidden="1">#N/A</definedName>
    <definedName name="XRefCopy16Row" hidden="1">#N/A</definedName>
    <definedName name="XRefCopy17Row" hidden="1">#N/A</definedName>
    <definedName name="XRefCopy1Row" hidden="1">#REF!</definedName>
    <definedName name="XRefCopy21Row" hidden="1">#N/A</definedName>
    <definedName name="XRefCopy22Row" hidden="1">#N/A</definedName>
    <definedName name="XRefCopy23Row" hidden="1">#N/A</definedName>
    <definedName name="XRefCopy24Row" hidden="1">#N/A</definedName>
    <definedName name="XRefCopy25Row" hidden="1">#N/A</definedName>
    <definedName name="XRefCopy26Row" hidden="1">#N/A</definedName>
    <definedName name="XRefCopy27Row" hidden="1">#N/A</definedName>
    <definedName name="XRefCopy28Row" hidden="1">#N/A</definedName>
    <definedName name="XRefCopy29Row" hidden="1">#N/A</definedName>
    <definedName name="XRefCopy2Row" hidden="1">#REF!</definedName>
    <definedName name="XRefCopy30Row" hidden="1">#N/A</definedName>
    <definedName name="XRefCopy31Row" hidden="1">#N/A</definedName>
    <definedName name="XRefCopy32Row" hidden="1">#N/A</definedName>
    <definedName name="XRefCopy33Row" hidden="1">#N/A</definedName>
    <definedName name="XRefCopy34Row" hidden="1">#N/A</definedName>
    <definedName name="XRefCopy35Row" hidden="1">#N/A</definedName>
    <definedName name="XRefCopy36Row" hidden="1">#N/A</definedName>
    <definedName name="XRefCopy37Row" hidden="1">#N/A</definedName>
    <definedName name="XRefCopy38Row" hidden="1">#N/A</definedName>
    <definedName name="XRefCopy39Row" hidden="1">#N/A</definedName>
    <definedName name="XRefCopy40Row" hidden="1">#N/A</definedName>
    <definedName name="XRefCopy41Row" hidden="1">#N/A</definedName>
    <definedName name="XRefCopy43Row" hidden="1">#N/A</definedName>
    <definedName name="XRefCopy44Row" hidden="1">#N/A</definedName>
    <definedName name="XRefCopy45Row" hidden="1">#N/A</definedName>
    <definedName name="XRefCopy46Row" hidden="1">#N/A</definedName>
    <definedName name="XRefCopy47Row" hidden="1">#N/A</definedName>
    <definedName name="XRefCopy48Row" hidden="1">#N/A</definedName>
    <definedName name="XRefCopy49Row" hidden="1">#N/A</definedName>
    <definedName name="XRefCopy4Row" hidden="1">#REF!</definedName>
    <definedName name="XRefCopy50Row" hidden="1">#N/A</definedName>
    <definedName name="XRefCopy51Row" hidden="1">#N/A</definedName>
    <definedName name="XRefCopy52Row" hidden="1">#N/A</definedName>
    <definedName name="XRefCopy53Row" hidden="1">#N/A</definedName>
    <definedName name="XRefCopy54Row" hidden="1">#N/A</definedName>
    <definedName name="XRefCopy56Row" hidden="1">#N/A</definedName>
    <definedName name="XRefCopy57" hidden="1">#REF!</definedName>
    <definedName name="XRefCopy57Row" hidden="1">#N/A</definedName>
    <definedName name="XRefCopy58Row" hidden="1">#N/A</definedName>
    <definedName name="XRefCopy59Row" hidden="1">#N/A</definedName>
    <definedName name="XRefCopy5Row" hidden="1">#REF!</definedName>
    <definedName name="XRefCopy60" hidden="1">#REF!</definedName>
    <definedName name="XRefCopy60Row" hidden="1">#N/A</definedName>
    <definedName name="XRefCopy61Row" hidden="1">#N/A</definedName>
    <definedName name="XRefCopy62Row" hidden="1">#N/A</definedName>
    <definedName name="XRefCopy63Row" hidden="1">#N/A</definedName>
    <definedName name="XRefCopy64Row" hidden="1">#N/A</definedName>
    <definedName name="XRefCopy65Row" hidden="1">#N/A</definedName>
    <definedName name="XRefCopy66Row" hidden="1">#N/A</definedName>
    <definedName name="XRefCopy67Row" hidden="1">#N/A</definedName>
    <definedName name="XRefCopy68Row" hidden="1">#N/A</definedName>
    <definedName name="XRefCopy69Row" hidden="1">#N/A</definedName>
    <definedName name="XRefCopy6Row" hidden="1">#REF!</definedName>
    <definedName name="XRefCopy70Row" hidden="1">#N/A</definedName>
    <definedName name="XRefCopy71Row" hidden="1">#N/A</definedName>
    <definedName name="XRefCopy72Row" hidden="1">#N/A</definedName>
    <definedName name="XRefCopy73Row" hidden="1">#N/A</definedName>
    <definedName name="XRefCopy74Row" hidden="1">#N/A</definedName>
    <definedName name="XRefCopy75Row" hidden="1">#N/A</definedName>
    <definedName name="XRefCopy76" hidden="1">#REF!</definedName>
    <definedName name="XRefCopy76Row" hidden="1">#N/A</definedName>
    <definedName name="XRefCopy77" hidden="1">#REF!</definedName>
    <definedName name="XRefCopy77Row" hidden="1">#N/A</definedName>
    <definedName name="XRefCopy78Row" hidden="1">#N/A</definedName>
    <definedName name="XRefCopy79" hidden="1">#REF!</definedName>
    <definedName name="XRefCopy79Row" hidden="1">#N/A</definedName>
    <definedName name="XRefCopy7Row" hidden="1">#REF!</definedName>
    <definedName name="XRefCopy80Row" hidden="1">#N/A</definedName>
    <definedName name="XRefCopy81" hidden="1">#REF!</definedName>
    <definedName name="XRefCopy82" hidden="1">#REF!</definedName>
    <definedName name="XRefCopy83" hidden="1">#REF!</definedName>
    <definedName name="XRefCopy85" hidden="1">#REF!</definedName>
    <definedName name="XRefCopy87" hidden="1">#REF!</definedName>
    <definedName name="XRefCopy8Row" hidden="1">#N/A</definedName>
    <definedName name="XRefCopy90" hidden="1">#REF!</definedName>
    <definedName name="XRefCopy93" hidden="1">#REF!</definedName>
    <definedName name="XRefCopy96" hidden="1">#REF!</definedName>
    <definedName name="XRefCopy9Row" hidden="1">#N/A</definedName>
    <definedName name="XRefCopyRangeCount" hidden="1">1</definedName>
    <definedName name="XRefPaste1Row" hidden="1">#REF!</definedName>
    <definedName name="XRefPaste32Row" hidden="1">#N/A</definedName>
    <definedName name="XRefPaste34Row" hidden="1">#N/A</definedName>
    <definedName name="XRefPaste35Row" hidden="1">#N/A</definedName>
    <definedName name="XRefPaste36Row" hidden="1">#N/A</definedName>
    <definedName name="XRefPaste37Row" hidden="1">#N/A</definedName>
    <definedName name="XRefPaste38Row" hidden="1">#N/A</definedName>
    <definedName name="XRefPaste40Row" hidden="1">#N/A</definedName>
    <definedName name="XRefPaste41Row" hidden="1">#N/A</definedName>
    <definedName name="XRefPaste43Row" hidden="1">#N/A</definedName>
    <definedName name="XRefPaste44Row" hidden="1">#N/A</definedName>
    <definedName name="XRefPaste45Row" hidden="1">#N/A</definedName>
    <definedName name="XRefPaste4Row" hidden="1">#REF!</definedName>
    <definedName name="XRefPaste52" hidden="1">#REF!</definedName>
    <definedName name="XRefPaste53" hidden="1">#REF!</definedName>
    <definedName name="XRefPaste55" hidden="1">#REF!</definedName>
    <definedName name="XRefPaste59" hidden="1">#REF!</definedName>
    <definedName name="XRefPaste5Row" hidden="1">#REF!</definedName>
    <definedName name="XRefPaste6Row" hidden="1">#REF!</definedName>
    <definedName name="XRefPaste72" hidden="1">#REF!</definedName>
    <definedName name="XRefPaste73" hidden="1">#REF!</definedName>
    <definedName name="XRefPaste75" hidden="1">#REF!</definedName>
    <definedName name="XRefPaste79" hidden="1">#REF!</definedName>
    <definedName name="XRefPaste7Row" hidden="1">#REF!</definedName>
    <definedName name="XRefPaste81" hidden="1">#REF!</definedName>
    <definedName name="XRefPaste82" hidden="1">#REF!</definedName>
    <definedName name="XRefPaste84" hidden="1">#REF!</definedName>
    <definedName name="XRefPaste85" hidden="1">#REF!</definedName>
    <definedName name="XRefPaste86" hidden="1">#REF!</definedName>
    <definedName name="XRefPaste87" hidden="1">#REF!</definedName>
    <definedName name="XRefPaste88" hidden="1">#REF!</definedName>
    <definedName name="XRefPaste89" hidden="1">#REF!</definedName>
    <definedName name="XRefPaste8Row" hidden="1">#N/A</definedName>
    <definedName name="XRefPaste90" hidden="1">#REF!</definedName>
    <definedName name="XRefPaste9Row" hidden="1">#N/A</definedName>
    <definedName name="XRefPasteRangeCount" hidden="1">1</definedName>
    <definedName name="ппп" hidden="1">#N/A</definedName>
    <definedName name="갑근세">#REF!</definedName>
    <definedName name="강샘" hidden="1">#REF!</definedName>
    <definedName name="건강보험">#REF!</definedName>
    <definedName name="고졸">#REF!</definedName>
    <definedName name="과장">#REF!</definedName>
    <definedName name="국민연금">#REF!</definedName>
    <definedName name="급여0410">#REF!</definedName>
    <definedName name="급여0607">#REF!</definedName>
    <definedName name="급여0608">#REF!</definedName>
    <definedName name="급여0609">#REF!</definedName>
    <definedName name="기수">27</definedName>
    <definedName name="기타">#REF!</definedName>
    <definedName name="대리">#REF!</definedName>
    <definedName name="대리운전">#REF!</definedName>
    <definedName name="대졸">#REF!</definedName>
    <definedName name="ㄹㄷㅈㄹㄹㄹ" hidden="1">#N/A</definedName>
    <definedName name="ㄹㅇ" hidden="1">10</definedName>
    <definedName name="라벨">#REF!</definedName>
    <definedName name="ㅁㄹㅇㄹ" hidden="1">3</definedName>
    <definedName name="매출toc" hidden="1">#REF!</definedName>
    <definedName name="몰라" hidden="1">#REF!</definedName>
    <definedName name="몰몰라" hidden="1">#REF!</definedName>
    <definedName name="미수익" hidden="1">5</definedName>
    <definedName name="배관명세" hidden="1">#REF!</definedName>
    <definedName name="별정">#REF!</definedName>
    <definedName name="부장">#REF!</definedName>
    <definedName name="사번">#REF!</definedName>
    <definedName name="시작">36526</definedName>
    <definedName name="ㅇㄹㄹ" hidden="1">16</definedName>
    <definedName name="안" hidden="1">#REF!</definedName>
    <definedName name="연차수당2006">#REF!</definedName>
    <definedName name="오순선" hidden="1">#REF!</definedName>
    <definedName name="원재료">#REF!</definedName>
    <definedName name="유가증권">#REF!,#REF!</definedName>
    <definedName name="유형근" hidden="1">"AS2DocumentEdit"</definedName>
    <definedName name="이사명">"박봉식"</definedName>
    <definedName name="입사일자">#REF!</definedName>
    <definedName name="자기예금" hidden="1">5</definedName>
    <definedName name="전졸">#REF!</definedName>
    <definedName name="정보">#REF!</definedName>
    <definedName name="종료">36891</definedName>
    <definedName name="주유비">#REF!</definedName>
    <definedName name="ㅊㅈㅇ" hidden="1">5</definedName>
    <definedName name="차장">#REF!</definedName>
    <definedName name="ㅋㄴㄷ" hidden="1">4</definedName>
    <definedName name="ㅋㄵ" hidden="1">#REF!</definedName>
    <definedName name="ㅋㅇㅍ" hidden="1">21</definedName>
    <definedName name="ㅋㅋ" hidden="1">13</definedName>
    <definedName name="퇴충11월">#REF!</definedName>
    <definedName name="투자총괄">#REF!,#REF!,#REF!,#REF!,#REF!,#REF!,#REF!,#REF!,#REF!,#REF!</definedName>
    <definedName name="품목별수주출하현황" hidden="1">60</definedName>
    <definedName name="품목집계" hidden="1">20</definedName>
    <definedName name="현금">#REF!,#REF!,#REF!,#REF!</definedName>
    <definedName name="회사명">"한일산업 주식회사"</definedName>
    <definedName name="회수시기">#REF!</definedName>
    <definedName name="ㅓㅗㅓㅗㅓㅗ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1" i="2" l="1"/>
  <c r="H100" i="2"/>
  <c r="G99" i="2"/>
  <c r="G98" i="2"/>
  <c r="G97" i="2"/>
  <c r="G96" i="2"/>
  <c r="G95" i="2"/>
  <c r="G94" i="2"/>
  <c r="G93" i="2"/>
  <c r="G92" i="2"/>
  <c r="H91" i="2"/>
  <c r="G91" i="2"/>
  <c r="G90" i="2"/>
  <c r="G88" i="2"/>
  <c r="G87" i="2"/>
  <c r="G86" i="2"/>
  <c r="H85" i="2"/>
  <c r="G85" i="2"/>
  <c r="G84" i="2"/>
  <c r="G83" i="2"/>
  <c r="G82" i="2"/>
  <c r="G81" i="2"/>
  <c r="H58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H41" i="2" s="1"/>
  <c r="H40" i="2" s="1"/>
  <c r="G42" i="2"/>
  <c r="G41" i="2"/>
  <c r="G40" i="2"/>
  <c r="G39" i="2"/>
  <c r="G38" i="2"/>
  <c r="G37" i="2"/>
  <c r="G36" i="2"/>
  <c r="G35" i="2"/>
  <c r="G34" i="2"/>
  <c r="G33" i="2"/>
  <c r="H32" i="2"/>
  <c r="G32" i="2"/>
  <c r="G31" i="2"/>
  <c r="G30" i="2"/>
  <c r="G29" i="2"/>
  <c r="G28" i="2"/>
  <c r="G27" i="2"/>
  <c r="G26" i="2"/>
  <c r="G25" i="2"/>
  <c r="H24" i="2"/>
  <c r="G24" i="2"/>
  <c r="G23" i="2"/>
  <c r="G22" i="2"/>
  <c r="G21" i="2"/>
  <c r="G20" i="2"/>
  <c r="G19" i="2"/>
  <c r="H18" i="2" s="1"/>
  <c r="H10" i="2" s="1"/>
  <c r="H83" i="2" s="1"/>
  <c r="H98" i="2" s="1"/>
  <c r="H99" i="2" s="1"/>
  <c r="H101" i="2" s="1"/>
  <c r="H105" i="2" s="1"/>
  <c r="G18" i="2"/>
  <c r="G16" i="2"/>
  <c r="G15" i="2"/>
  <c r="G14" i="2"/>
  <c r="G13" i="2"/>
  <c r="G12" i="2"/>
  <c r="H11" i="2"/>
  <c r="F157" i="1"/>
  <c r="E149" i="1"/>
  <c r="H145" i="1"/>
  <c r="H139" i="1"/>
  <c r="E148" i="1" s="1"/>
  <c r="E138" i="1"/>
  <c r="E142" i="1" s="1"/>
  <c r="G132" i="1"/>
  <c r="G118" i="1" s="1"/>
  <c r="D81" i="1" s="1"/>
  <c r="G128" i="1"/>
  <c r="E120" i="1" s="1"/>
  <c r="D58" i="1" s="1"/>
  <c r="E55" i="1" s="1"/>
  <c r="E37" i="1" s="1"/>
  <c r="G127" i="1"/>
  <c r="E119" i="1" s="1"/>
  <c r="D24" i="1" s="1"/>
  <c r="G126" i="1"/>
  <c r="G121" i="1"/>
  <c r="D23" i="1" s="1"/>
  <c r="G119" i="1"/>
  <c r="D73" i="1" s="1"/>
  <c r="G112" i="1"/>
  <c r="D106" i="1"/>
  <c r="E103" i="1" s="1"/>
  <c r="D105" i="1"/>
  <c r="I100" i="1"/>
  <c r="D99" i="1"/>
  <c r="D98" i="1"/>
  <c r="D96" i="1"/>
  <c r="E95" i="1" s="1"/>
  <c r="D95" i="1"/>
  <c r="E90" i="1"/>
  <c r="E107" i="1" s="1"/>
  <c r="E87" i="1"/>
  <c r="D80" i="1"/>
  <c r="E75" i="1" s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7" i="1"/>
  <c r="D56" i="1"/>
  <c r="D55" i="1"/>
  <c r="D54" i="1"/>
  <c r="D53" i="1"/>
  <c r="D52" i="1"/>
  <c r="D51" i="1"/>
  <c r="E50" i="1"/>
  <c r="D49" i="1"/>
  <c r="D48" i="1"/>
  <c r="D47" i="1"/>
  <c r="D46" i="1"/>
  <c r="D45" i="1"/>
  <c r="E42" i="1"/>
  <c r="D40" i="1"/>
  <c r="D39" i="1"/>
  <c r="E38" i="1"/>
  <c r="D37" i="1"/>
  <c r="D36" i="1"/>
  <c r="D35" i="1"/>
  <c r="D34" i="1"/>
  <c r="D33" i="1"/>
  <c r="D32" i="1"/>
  <c r="E31" i="1" s="1"/>
  <c r="E26" i="1" s="1"/>
  <c r="D31" i="1"/>
  <c r="D30" i="1"/>
  <c r="D29" i="1"/>
  <c r="D28" i="1"/>
  <c r="E27" i="1"/>
  <c r="D27" i="1"/>
  <c r="D26" i="1"/>
  <c r="D25" i="1"/>
  <c r="D22" i="1"/>
  <c r="D21" i="1"/>
  <c r="D20" i="1"/>
  <c r="D19" i="1"/>
  <c r="D18" i="1"/>
  <c r="D17" i="1"/>
  <c r="D16" i="1"/>
  <c r="D15" i="1"/>
  <c r="D14" i="1"/>
  <c r="E13" i="1" l="1"/>
  <c r="E12" i="1" s="1"/>
  <c r="E60" i="1" s="1"/>
  <c r="E147" i="1"/>
  <c r="E151" i="1" s="1"/>
  <c r="F134" i="1" s="1"/>
  <c r="G134" i="1" s="1"/>
  <c r="E118" i="1" s="1"/>
  <c r="H141" i="1"/>
  <c r="E143" i="1" s="1"/>
  <c r="E144" i="1" s="1"/>
  <c r="F130" i="1" s="1"/>
  <c r="G130" i="1" s="1"/>
  <c r="G120" i="1" s="1"/>
  <c r="D72" i="1" s="1"/>
  <c r="E64" i="1" s="1"/>
  <c r="E83" i="1" s="1"/>
  <c r="E109" i="1" s="1"/>
  <c r="H117" i="1" l="1"/>
  <c r="E112" i="1"/>
  <c r="E113" i="1"/>
  <c r="H112" i="1" s="1"/>
</calcChain>
</file>

<file path=xl/sharedStrings.xml><?xml version="1.0" encoding="utf-8"?>
<sst xmlns="http://schemas.openxmlformats.org/spreadsheetml/2006/main" count="427" uniqueCount="275">
  <si>
    <t>재무상태표</t>
    <phoneticPr fontId="5" type="noConversion"/>
  </si>
  <si>
    <t>==========================</t>
    <phoneticPr fontId="5" type="noConversion"/>
  </si>
  <si>
    <t>제 27 (당) 기 : 2025년 3월 31일 현재</t>
    <phoneticPr fontId="9" type="noConversion"/>
  </si>
  <si>
    <t>제 26 (전) 기 : 2024년 12월 31일 현재</t>
    <phoneticPr fontId="9" type="noConversion"/>
  </si>
  <si>
    <t>키움인베스트먼트 주식회사</t>
    <phoneticPr fontId="5" type="noConversion"/>
  </si>
  <si>
    <t>(단위:원)</t>
    <phoneticPr fontId="5" type="noConversion"/>
  </si>
  <si>
    <t>과         목</t>
    <phoneticPr fontId="5" type="noConversion"/>
  </si>
  <si>
    <t>제 27 (당) 기</t>
    <phoneticPr fontId="11" type="noConversion"/>
  </si>
  <si>
    <t>제 26 (전) 기</t>
    <phoneticPr fontId="11" type="noConversion"/>
  </si>
  <si>
    <t>금                 액</t>
    <phoneticPr fontId="5" type="noConversion"/>
  </si>
  <si>
    <t>자                   산</t>
  </si>
  <si>
    <t xml:space="preserve">Ⅰ. </t>
  </si>
  <si>
    <t>유동자산</t>
  </si>
  <si>
    <t>(1)</t>
  </si>
  <si>
    <t>당좌자산</t>
  </si>
  <si>
    <t>1.</t>
    <phoneticPr fontId="5" type="noConversion"/>
  </si>
  <si>
    <t>현금및현금성자산</t>
    <phoneticPr fontId="5" type="noConversion"/>
  </si>
  <si>
    <t>2.</t>
    <phoneticPr fontId="11" type="noConversion"/>
  </si>
  <si>
    <t>단기금융상품</t>
    <phoneticPr fontId="11" type="noConversion"/>
  </si>
  <si>
    <t>3.</t>
    <phoneticPr fontId="11" type="noConversion"/>
  </si>
  <si>
    <t>단기매매증권</t>
    <phoneticPr fontId="5" type="noConversion"/>
  </si>
  <si>
    <t>4.</t>
    <phoneticPr fontId="11" type="noConversion"/>
  </si>
  <si>
    <t>미수수익</t>
    <phoneticPr fontId="5" type="noConversion"/>
  </si>
  <si>
    <t>미수금</t>
    <phoneticPr fontId="5" type="noConversion"/>
  </si>
  <si>
    <t>미수금대손충당금</t>
    <phoneticPr fontId="5" type="noConversion"/>
  </si>
  <si>
    <t/>
  </si>
  <si>
    <t>선급금</t>
    <phoneticPr fontId="11" type="noConversion"/>
  </si>
  <si>
    <t>선급금대손충당금</t>
    <phoneticPr fontId="5" type="noConversion"/>
  </si>
  <si>
    <t>선급비용</t>
    <phoneticPr fontId="11" type="noConversion"/>
  </si>
  <si>
    <t>당기법인세자산</t>
    <phoneticPr fontId="11" type="noConversion"/>
  </si>
  <si>
    <t>유동이연법인세자산</t>
    <phoneticPr fontId="11" type="noConversion"/>
  </si>
  <si>
    <t xml:space="preserve">Ⅱ. </t>
  </si>
  <si>
    <t>창업투자자산</t>
    <phoneticPr fontId="5" type="noConversion"/>
  </si>
  <si>
    <t>투자실적자산</t>
    <phoneticPr fontId="5" type="noConversion"/>
  </si>
  <si>
    <t>투자주식</t>
    <phoneticPr fontId="5" type="noConversion"/>
  </si>
  <si>
    <t>2.</t>
  </si>
  <si>
    <t>투자사채</t>
    <phoneticPr fontId="5" type="noConversion"/>
  </si>
  <si>
    <t>(2)</t>
    <phoneticPr fontId="5" type="noConversion"/>
  </si>
  <si>
    <t>경영지원자산</t>
    <phoneticPr fontId="5" type="noConversion"/>
  </si>
  <si>
    <t>운용투자주식</t>
    <phoneticPr fontId="5" type="noConversion"/>
  </si>
  <si>
    <t>운용전환사채</t>
    <phoneticPr fontId="11" type="noConversion"/>
  </si>
  <si>
    <t>조합출자금</t>
    <phoneticPr fontId="5" type="noConversion"/>
  </si>
  <si>
    <t xml:space="preserve">&lt; 2021.06.22 시행, 중소기업창업투자회사 관리규정에 의거, 조합출자금 투자실적자산 -&gt; 경영지원자산  </t>
    <phoneticPr fontId="11" type="noConversion"/>
  </si>
  <si>
    <t>운용프로젝트투자</t>
    <phoneticPr fontId="15" type="noConversion"/>
  </si>
  <si>
    <t>Ⅲ.</t>
    <phoneticPr fontId="5" type="noConversion"/>
  </si>
  <si>
    <t>비유동자산</t>
    <phoneticPr fontId="5" type="noConversion"/>
  </si>
  <si>
    <t>투자자산</t>
    <phoneticPr fontId="5" type="noConversion"/>
  </si>
  <si>
    <t>1.</t>
    <phoneticPr fontId="15" type="noConversion"/>
  </si>
  <si>
    <t>임원종업원장기대여금</t>
    <phoneticPr fontId="5" type="noConversion"/>
  </si>
  <si>
    <t>2.</t>
    <phoneticPr fontId="15" type="noConversion"/>
  </si>
  <si>
    <t>퇴직연금운용자산</t>
  </si>
  <si>
    <t>유형자산</t>
    <phoneticPr fontId="5" type="noConversion"/>
  </si>
  <si>
    <t>차량운반구</t>
    <phoneticPr fontId="5" type="noConversion"/>
  </si>
  <si>
    <t>감가상각누계액</t>
    <phoneticPr fontId="5" type="noConversion"/>
  </si>
  <si>
    <t>2.</t>
    <phoneticPr fontId="5" type="noConversion"/>
  </si>
  <si>
    <t>집기비품</t>
    <phoneticPr fontId="5" type="noConversion"/>
  </si>
  <si>
    <t>집기비품감가상각누계액</t>
    <phoneticPr fontId="5" type="noConversion"/>
  </si>
  <si>
    <t>3.</t>
    <phoneticPr fontId="5" type="noConversion"/>
  </si>
  <si>
    <t>임차자산개량권</t>
    <phoneticPr fontId="5" type="noConversion"/>
  </si>
  <si>
    <t>임차자산개량권감가상각누계액</t>
    <phoneticPr fontId="5" type="noConversion"/>
  </si>
  <si>
    <t>(3)</t>
    <phoneticPr fontId="5" type="noConversion"/>
  </si>
  <si>
    <t>무형자산</t>
    <phoneticPr fontId="11" type="noConversion"/>
  </si>
  <si>
    <t>골프회원권</t>
    <phoneticPr fontId="11" type="noConversion"/>
  </si>
  <si>
    <t>소프트웨어</t>
    <phoneticPr fontId="11" type="noConversion"/>
  </si>
  <si>
    <t>회원권</t>
    <phoneticPr fontId="11" type="noConversion"/>
  </si>
  <si>
    <t>(3)</t>
    <phoneticPr fontId="15" type="noConversion"/>
  </si>
  <si>
    <t>기타비유동자산</t>
    <phoneticPr fontId="5" type="noConversion"/>
  </si>
  <si>
    <t>임차보증금</t>
    <phoneticPr fontId="5" type="noConversion"/>
  </si>
  <si>
    <t>기타보증금</t>
    <phoneticPr fontId="11" type="noConversion"/>
  </si>
  <si>
    <t>3.</t>
    <phoneticPr fontId="15" type="noConversion"/>
  </si>
  <si>
    <t>비유동성이연법인세자산</t>
  </si>
  <si>
    <t>자    산    총    계</t>
  </si>
  <si>
    <t>부                채</t>
  </si>
  <si>
    <t>유동부채</t>
  </si>
  <si>
    <t>단기차입금</t>
    <phoneticPr fontId="5" type="noConversion"/>
  </si>
  <si>
    <t>미지급금</t>
    <phoneticPr fontId="5" type="noConversion"/>
  </si>
  <si>
    <t>3.</t>
  </si>
  <si>
    <t>선수금</t>
    <phoneticPr fontId="11" type="noConversion"/>
  </si>
  <si>
    <t>4.</t>
  </si>
  <si>
    <t>선수수익</t>
    <phoneticPr fontId="5" type="noConversion"/>
  </si>
  <si>
    <t>5.</t>
    <phoneticPr fontId="11" type="noConversion"/>
  </si>
  <si>
    <t>예수금</t>
    <phoneticPr fontId="5" type="noConversion"/>
  </si>
  <si>
    <t>6.</t>
    <phoneticPr fontId="11" type="noConversion"/>
  </si>
  <si>
    <t>예수부가가치세</t>
    <phoneticPr fontId="11" type="noConversion"/>
  </si>
  <si>
    <t>7.</t>
    <phoneticPr fontId="11" type="noConversion"/>
  </si>
  <si>
    <t>미지급비용</t>
    <phoneticPr fontId="11" type="noConversion"/>
  </si>
  <si>
    <t>8.</t>
    <phoneticPr fontId="11" type="noConversion"/>
  </si>
  <si>
    <t>당기법인세부채</t>
    <phoneticPr fontId="11" type="noConversion"/>
  </si>
  <si>
    <t>9.</t>
    <phoneticPr fontId="11" type="noConversion"/>
  </si>
  <si>
    <t>유동이연법인세부채</t>
    <phoneticPr fontId="11" type="noConversion"/>
  </si>
  <si>
    <t>Ⅱ.</t>
    <phoneticPr fontId="5" type="noConversion"/>
  </si>
  <si>
    <t>비유동부채</t>
    <phoneticPr fontId="5" type="noConversion"/>
  </si>
  <si>
    <t>퇴직급여충당부채</t>
    <phoneticPr fontId="5" type="noConversion"/>
  </si>
  <si>
    <t>key-in</t>
    <phoneticPr fontId="11" type="noConversion"/>
  </si>
  <si>
    <t>퇴직연금운용자산</t>
    <phoneticPr fontId="5" type="noConversion"/>
  </si>
  <si>
    <t>연차수당부채</t>
    <phoneticPr fontId="5" type="noConversion"/>
  </si>
  <si>
    <t>4.</t>
    <phoneticPr fontId="5" type="noConversion"/>
  </si>
  <si>
    <t>복구충당부채</t>
    <phoneticPr fontId="5" type="noConversion"/>
  </si>
  <si>
    <t>임대보증금</t>
    <phoneticPr fontId="11" type="noConversion"/>
  </si>
  <si>
    <t>비유동성이연법인세부채</t>
    <phoneticPr fontId="11" type="noConversion"/>
  </si>
  <si>
    <t>부    채    총     계</t>
  </si>
  <si>
    <t>자                 본</t>
  </si>
  <si>
    <t>자본금</t>
    <phoneticPr fontId="5" type="noConversion"/>
  </si>
  <si>
    <t>보통주자본금</t>
    <phoneticPr fontId="5" type="noConversion"/>
  </si>
  <si>
    <t>자본조정</t>
    <phoneticPr fontId="5" type="noConversion"/>
  </si>
  <si>
    <t>자기주식</t>
    <phoneticPr fontId="5" type="noConversion"/>
  </si>
  <si>
    <t>주식할인발행차금</t>
    <phoneticPr fontId="5" type="noConversion"/>
  </si>
  <si>
    <t>기타의자본조정</t>
    <phoneticPr fontId="5" type="noConversion"/>
  </si>
  <si>
    <t>기타포괄손익누계액</t>
    <phoneticPr fontId="5" type="noConversion"/>
  </si>
  <si>
    <t>투자주식평가이익</t>
    <phoneticPr fontId="5" type="noConversion"/>
  </si>
  <si>
    <t>투자주식평가손실</t>
  </si>
  <si>
    <t>운용투자주식평가이익</t>
    <phoneticPr fontId="5" type="noConversion"/>
  </si>
  <si>
    <t>운용투자주식평가손실</t>
    <phoneticPr fontId="5" type="noConversion"/>
  </si>
  <si>
    <t>지분법자본변동</t>
    <phoneticPr fontId="5" type="noConversion"/>
  </si>
  <si>
    <t>부의지분법자본변동</t>
    <phoneticPr fontId="5" type="noConversion"/>
  </si>
  <si>
    <t>Ⅳ.</t>
    <phoneticPr fontId="5" type="noConversion"/>
  </si>
  <si>
    <t>이익잉여금</t>
    <phoneticPr fontId="5" type="noConversion"/>
  </si>
  <si>
    <t>이익준비금</t>
    <phoneticPr fontId="5" type="noConversion"/>
  </si>
  <si>
    <t>미처분이익잉여금</t>
    <phoneticPr fontId="5" type="noConversion"/>
  </si>
  <si>
    <t>당기순이익</t>
    <phoneticPr fontId="5" type="noConversion"/>
  </si>
  <si>
    <t>자    본    총    계</t>
  </si>
  <si>
    <t>부 채 와 자 본 총 계</t>
  </si>
  <si>
    <t>2024.4Q 법인세 전표</t>
    <phoneticPr fontId="11" type="noConversion"/>
  </si>
  <si>
    <t>법인세 수정_최종</t>
    <phoneticPr fontId="11" type="noConversion"/>
  </si>
  <si>
    <t>차변</t>
    <phoneticPr fontId="4" type="noConversion"/>
  </si>
  <si>
    <t>대변</t>
    <phoneticPr fontId="4" type="noConversion"/>
  </si>
  <si>
    <t>법인세비용</t>
    <phoneticPr fontId="11" type="noConversion"/>
  </si>
  <si>
    <t>비유동성이연법인세부채</t>
  </si>
  <si>
    <t>유동성이연법인세부채</t>
  </si>
  <si>
    <t>비유동이연법인세자산</t>
    <phoneticPr fontId="11" type="noConversion"/>
  </si>
  <si>
    <t>당기법인세부채</t>
  </si>
  <si>
    <t>당기법인세자산</t>
  </si>
  <si>
    <t>[조정내역 상세]</t>
    <phoneticPr fontId="11" type="noConversion"/>
  </si>
  <si>
    <t>구분</t>
    <phoneticPr fontId="11" type="noConversion"/>
  </si>
  <si>
    <t>수정전</t>
    <phoneticPr fontId="11" type="noConversion"/>
  </si>
  <si>
    <t>Should be</t>
    <phoneticPr fontId="11" type="noConversion"/>
  </si>
  <si>
    <t>조정사항</t>
    <phoneticPr fontId="11" type="noConversion"/>
  </si>
  <si>
    <t>유동이연법인세자산</t>
  </si>
  <si>
    <t>당기법인세부채(*1)</t>
    <phoneticPr fontId="11" type="noConversion"/>
  </si>
  <si>
    <t>유동이연법인세부채</t>
  </si>
  <si>
    <t>법인세비용(*2)</t>
    <phoneticPr fontId="11" type="noConversion"/>
  </si>
  <si>
    <t>(*1) 당기법인세부채</t>
    <phoneticPr fontId="11" type="noConversion"/>
  </si>
  <si>
    <t>당기 법인세부담액</t>
    <phoneticPr fontId="4" type="noConversion"/>
  </si>
  <si>
    <t>전기 법인세부채</t>
  </si>
  <si>
    <t>산출세액</t>
    <phoneticPr fontId="4" type="noConversion"/>
  </si>
  <si>
    <t>(농특세 가산 후)</t>
    <phoneticPr fontId="11" type="noConversion"/>
  </si>
  <si>
    <t>추납액(조정, 환급)</t>
  </si>
  <si>
    <t>2024년 법인세 조정(*)</t>
  </si>
  <si>
    <t>지방세결정세액</t>
    <phoneticPr fontId="4" type="noConversion"/>
  </si>
  <si>
    <t>전기 법인세 납부액</t>
    <phoneticPr fontId="4" type="noConversion"/>
  </si>
  <si>
    <t>2025.03.31</t>
  </si>
  <si>
    <t>기납부세액</t>
    <phoneticPr fontId="4" type="noConversion"/>
  </si>
  <si>
    <t>당기 법인세부채(당기분)</t>
    <phoneticPr fontId="4" type="noConversion"/>
  </si>
  <si>
    <t>당기 법인세부채(전기분)</t>
    <phoneticPr fontId="4" type="noConversion"/>
  </si>
  <si>
    <t>2024년 조정-2023년</t>
    <phoneticPr fontId="4" type="noConversion"/>
  </si>
  <si>
    <t>당기 법인세부채</t>
    <phoneticPr fontId="4" type="noConversion"/>
  </si>
  <si>
    <t>2024년 조정-2024년</t>
    <phoneticPr fontId="4" type="noConversion"/>
  </si>
  <si>
    <t>(*2) 법인세비용</t>
    <phoneticPr fontId="11" type="noConversion"/>
  </si>
  <si>
    <t xml:space="preserve"> 당기법인세부담액</t>
    <phoneticPr fontId="4" type="noConversion"/>
  </si>
  <si>
    <t xml:space="preserve"> 법인세추납(환급)</t>
    <phoneticPr fontId="4" type="noConversion"/>
  </si>
  <si>
    <t xml:space="preserve"> 자본 직접반영 </t>
    <phoneticPr fontId="4" type="noConversion"/>
  </si>
  <si>
    <t xml:space="preserve"> 이연법인세 변동</t>
    <phoneticPr fontId="4" type="noConversion"/>
  </si>
  <si>
    <t>당기 법인세비용</t>
    <phoneticPr fontId="4" type="noConversion"/>
  </si>
  <si>
    <t>자본에 직접반영한 법인세비용</t>
    <phoneticPr fontId="4" type="noConversion"/>
  </si>
  <si>
    <t>운용투자주식평가손 관련</t>
  </si>
  <si>
    <t>지분법자본변동 관련</t>
  </si>
  <si>
    <t>이연법인세부채 증가로 재무제표 반영</t>
    <phoneticPr fontId="4" type="noConversion"/>
  </si>
  <si>
    <t>손익계산서</t>
    <phoneticPr fontId="5" type="noConversion"/>
  </si>
  <si>
    <t>===================================</t>
    <phoneticPr fontId="5" type="noConversion"/>
  </si>
  <si>
    <t>제 27 (당)기 : 2025년 1월 1일부터 2025년 03월 31일까지</t>
    <phoneticPr fontId="11" type="noConversion"/>
  </si>
  <si>
    <t>제 26 (전)기 : 2024년 1월 1일부터 2024년 12월 31일까지</t>
    <phoneticPr fontId="11" type="noConversion"/>
  </si>
  <si>
    <t>(단위: 원)</t>
    <phoneticPr fontId="5" type="noConversion"/>
  </si>
  <si>
    <t>과            목</t>
    <phoneticPr fontId="5" type="noConversion"/>
  </si>
  <si>
    <t>영업수익</t>
    <phoneticPr fontId="5" type="noConversion"/>
  </si>
  <si>
    <t>(1)</t>
    <phoneticPr fontId="5" type="noConversion"/>
  </si>
  <si>
    <t>투자수익</t>
    <phoneticPr fontId="5" type="noConversion"/>
  </si>
  <si>
    <t>투자주식처분이익</t>
    <phoneticPr fontId="5" type="noConversion"/>
  </si>
  <si>
    <t>투자주식배당금</t>
    <phoneticPr fontId="5" type="noConversion"/>
  </si>
  <si>
    <t>투자사채처분이익</t>
    <phoneticPr fontId="5" type="noConversion"/>
  </si>
  <si>
    <t>투자사채수입이자</t>
    <phoneticPr fontId="5" type="noConversion"/>
  </si>
  <si>
    <t>5.</t>
    <phoneticPr fontId="5" type="noConversion"/>
  </si>
  <si>
    <t>기타투자수익</t>
    <phoneticPr fontId="5" type="noConversion"/>
  </si>
  <si>
    <t>투자조합수익</t>
    <phoneticPr fontId="5" type="noConversion"/>
  </si>
  <si>
    <t>조합관리보수</t>
    <phoneticPr fontId="5" type="noConversion"/>
  </si>
  <si>
    <t>조합성과보수</t>
    <phoneticPr fontId="5" type="noConversion"/>
  </si>
  <si>
    <t>조합출자금처분이익</t>
    <phoneticPr fontId="5" type="noConversion"/>
  </si>
  <si>
    <t>조합지분법이익</t>
    <phoneticPr fontId="5" type="noConversion"/>
  </si>
  <si>
    <t>운용투자수익</t>
    <phoneticPr fontId="5" type="noConversion"/>
  </si>
  <si>
    <t>운용투자주식처분이익</t>
    <phoneticPr fontId="5" type="noConversion"/>
  </si>
  <si>
    <t>운용투자주식배당금</t>
    <phoneticPr fontId="5" type="noConversion"/>
  </si>
  <si>
    <t>운용투자사채처분이익</t>
    <phoneticPr fontId="5" type="noConversion"/>
  </si>
  <si>
    <t>운용투자사채이자</t>
    <phoneticPr fontId="5" type="noConversion"/>
  </si>
  <si>
    <t>운용투자사채전환이익</t>
    <phoneticPr fontId="5" type="noConversion"/>
  </si>
  <si>
    <t>수입수수료(운용)</t>
    <phoneticPr fontId="5" type="noConversion"/>
  </si>
  <si>
    <t>(4)</t>
    <phoneticPr fontId="5" type="noConversion"/>
  </si>
  <si>
    <t>기타의영업수익</t>
    <phoneticPr fontId="5" type="noConversion"/>
  </si>
  <si>
    <t>이자수익</t>
    <phoneticPr fontId="5" type="noConversion"/>
  </si>
  <si>
    <t>배당금수익</t>
    <phoneticPr fontId="5" type="noConversion"/>
  </si>
  <si>
    <t>단기매매증권처분이익</t>
    <phoneticPr fontId="5" type="noConversion"/>
  </si>
  <si>
    <t>단기매매증권평가이익</t>
    <phoneticPr fontId="5" type="noConversion"/>
  </si>
  <si>
    <t>운용투자사채평가이익</t>
    <phoneticPr fontId="5" type="noConversion"/>
  </si>
  <si>
    <t>복구충당부채환입</t>
    <phoneticPr fontId="5" type="noConversion"/>
  </si>
  <si>
    <t>영업비용</t>
    <phoneticPr fontId="5" type="noConversion"/>
  </si>
  <si>
    <t>투자및금융비용</t>
    <phoneticPr fontId="5" type="noConversion"/>
  </si>
  <si>
    <t>투자주식처분손실</t>
    <phoneticPr fontId="5" type="noConversion"/>
  </si>
  <si>
    <t>투자사채처분손실</t>
    <phoneticPr fontId="5" type="noConversion"/>
  </si>
  <si>
    <t>투자주식손상차손</t>
    <phoneticPr fontId="5" type="noConversion"/>
  </si>
  <si>
    <t>투자사채손상차손</t>
    <phoneticPr fontId="5" type="noConversion"/>
  </si>
  <si>
    <t>5.</t>
  </si>
  <si>
    <t>조합출자금처분손실</t>
    <phoneticPr fontId="5" type="noConversion"/>
  </si>
  <si>
    <t>6.</t>
  </si>
  <si>
    <t>조합지분법손실</t>
    <phoneticPr fontId="5" type="noConversion"/>
  </si>
  <si>
    <t>7.</t>
  </si>
  <si>
    <t>운용투자주식처분손실</t>
    <phoneticPr fontId="5" type="noConversion"/>
  </si>
  <si>
    <t>8.</t>
  </si>
  <si>
    <t>운용투자주식손상차손</t>
    <phoneticPr fontId="5" type="noConversion"/>
  </si>
  <si>
    <t>9.</t>
  </si>
  <si>
    <t>운용투자사채처분손실</t>
    <phoneticPr fontId="5" type="noConversion"/>
  </si>
  <si>
    <t>10.</t>
  </si>
  <si>
    <t>운용투자사채손상차손</t>
    <phoneticPr fontId="5" type="noConversion"/>
  </si>
  <si>
    <t>11.</t>
  </si>
  <si>
    <t>이자비용(차입금이자)</t>
    <phoneticPr fontId="5" type="noConversion"/>
  </si>
  <si>
    <t>12.</t>
  </si>
  <si>
    <t>단기매매증권처분손실</t>
    <phoneticPr fontId="5" type="noConversion"/>
  </si>
  <si>
    <t>13.</t>
    <phoneticPr fontId="11" type="noConversion"/>
  </si>
  <si>
    <t>단기매매증권평가손실</t>
    <phoneticPr fontId="5" type="noConversion"/>
  </si>
  <si>
    <t>14.</t>
    <phoneticPr fontId="11" type="noConversion"/>
  </si>
  <si>
    <t>이자비용</t>
    <phoneticPr fontId="5" type="noConversion"/>
  </si>
  <si>
    <t>15.</t>
  </si>
  <si>
    <t>복구충당부채전입</t>
    <phoneticPr fontId="5" type="noConversion"/>
  </si>
  <si>
    <t>일반관리비</t>
    <phoneticPr fontId="5" type="noConversion"/>
  </si>
  <si>
    <t>급료</t>
    <phoneticPr fontId="5" type="noConversion"/>
  </si>
  <si>
    <t>key-in</t>
    <phoneticPr fontId="5" type="noConversion"/>
  </si>
  <si>
    <t>상여금</t>
    <phoneticPr fontId="5" type="noConversion"/>
  </si>
  <si>
    <t>퇴직급여</t>
    <phoneticPr fontId="5" type="noConversion"/>
  </si>
  <si>
    <t>복리후생비</t>
    <phoneticPr fontId="5" type="noConversion"/>
  </si>
  <si>
    <t>여비교통비</t>
    <phoneticPr fontId="5" type="noConversion"/>
  </si>
  <si>
    <t>통신비</t>
    <phoneticPr fontId="5" type="noConversion"/>
  </si>
  <si>
    <t>세금과공과</t>
    <phoneticPr fontId="5" type="noConversion"/>
  </si>
  <si>
    <t>지급임차료및관리비</t>
    <phoneticPr fontId="5" type="noConversion"/>
  </si>
  <si>
    <t>무형자산감가상각비</t>
    <phoneticPr fontId="5" type="noConversion"/>
  </si>
  <si>
    <t>유형자산감가상각비</t>
    <phoneticPr fontId="5" type="noConversion"/>
  </si>
  <si>
    <t>임차자산개량권감가상각비</t>
    <phoneticPr fontId="5" type="noConversion"/>
  </si>
  <si>
    <t>행사비</t>
    <phoneticPr fontId="5" type="noConversion"/>
  </si>
  <si>
    <t>교육훈련비</t>
    <phoneticPr fontId="5" type="noConversion"/>
  </si>
  <si>
    <t>지급수수료(일반관리비)</t>
    <phoneticPr fontId="5" type="noConversion"/>
  </si>
  <si>
    <t>차량유지비</t>
    <phoneticPr fontId="5" type="noConversion"/>
  </si>
  <si>
    <t>도서인쇄비</t>
    <phoneticPr fontId="5" type="noConversion"/>
  </si>
  <si>
    <t>소모품비</t>
    <phoneticPr fontId="5" type="noConversion"/>
  </si>
  <si>
    <t>접대비</t>
    <phoneticPr fontId="5" type="noConversion"/>
  </si>
  <si>
    <t>광고선전비</t>
    <phoneticPr fontId="5" type="noConversion"/>
  </si>
  <si>
    <t>협회비</t>
    <phoneticPr fontId="5" type="noConversion"/>
  </si>
  <si>
    <t>운반비</t>
    <phoneticPr fontId="5" type="noConversion"/>
  </si>
  <si>
    <t>수도광열비</t>
    <phoneticPr fontId="5" type="noConversion"/>
  </si>
  <si>
    <t>영업이익(손실)</t>
    <phoneticPr fontId="5" type="noConversion"/>
  </si>
  <si>
    <t>영업외수익</t>
    <phoneticPr fontId="5" type="noConversion"/>
  </si>
  <si>
    <t>이자수익(임직원대여금)</t>
    <phoneticPr fontId="5" type="noConversion"/>
  </si>
  <si>
    <t>유형자산처분이익</t>
    <phoneticPr fontId="5" type="noConversion"/>
  </si>
  <si>
    <t>잡이익</t>
    <phoneticPr fontId="5" type="noConversion"/>
  </si>
  <si>
    <t>기타비유동자산손상차손환입</t>
    <phoneticPr fontId="5" type="noConversion"/>
  </si>
  <si>
    <t>Ⅴ.</t>
    <phoneticPr fontId="5" type="noConversion"/>
  </si>
  <si>
    <t>영업외비용</t>
    <phoneticPr fontId="5" type="noConversion"/>
  </si>
  <si>
    <t>유형자산처분손실</t>
    <phoneticPr fontId="5" type="noConversion"/>
  </si>
  <si>
    <t>유형자산폐기손실</t>
    <phoneticPr fontId="5" type="noConversion"/>
  </si>
  <si>
    <t>기부금</t>
    <phoneticPr fontId="5" type="noConversion"/>
  </si>
  <si>
    <t>잡손실</t>
    <phoneticPr fontId="5" type="noConversion"/>
  </si>
  <si>
    <t>기타비유동자산손상차손</t>
    <phoneticPr fontId="5" type="noConversion"/>
  </si>
  <si>
    <t>Ⅵ.</t>
    <phoneticPr fontId="5" type="noConversion"/>
  </si>
  <si>
    <t>경상이익(손실)</t>
    <phoneticPr fontId="5" type="noConversion"/>
  </si>
  <si>
    <t>Ⅶ.</t>
    <phoneticPr fontId="5" type="noConversion"/>
  </si>
  <si>
    <t>법인세비용차감전순이익(손실)</t>
    <phoneticPr fontId="5" type="noConversion"/>
  </si>
  <si>
    <t>Ⅷ.</t>
    <phoneticPr fontId="5" type="noConversion"/>
  </si>
  <si>
    <t xml:space="preserve">법인세비용 </t>
    <phoneticPr fontId="5" type="noConversion"/>
  </si>
  <si>
    <t>Ⅸ.</t>
    <phoneticPr fontId="5" type="noConversion"/>
  </si>
  <si>
    <t>당기순이익(손실)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</si>
</sst>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_-* #,##0.00_-;\-* #,##0.00_-;_-* &quot;-&quot;_-;_-@_-"/>
    <numFmt numFmtId="177" formatCode="_-* #,##0.000_-;\-* #,##0.000_-;_-* &quot;-&quot;_-;_-@_-"/>
    <numFmt numFmtId="178" formatCode="0."/>
    <numFmt numFmtId="179" formatCode="#,##0_);\(#,##0\);\-_)"/>
    <numFmt numFmtId="180" formatCode="#,##0;\(#,##0\);\-"/>
    <numFmt numFmtId="181" formatCode="#,##0.00000_);\(#,##0.00000\);\-_)"/>
    <numFmt numFmtId="182" formatCode="#,##0_ "/>
    <numFmt numFmtId="183" formatCode="###,###"/>
    <numFmt numFmtId="184" formatCode="#,##0_);\(#,##0\)"/>
  </numFmts>
  <fonts count="32" x14ac:knownFonts="1">
    <font>
      <sz val="9"/>
      <color theme="1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2"/>
      <name val="바탕체"/>
      <family val="1"/>
      <charset val="129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바탕체"/>
      <family val="1"/>
      <charset val="129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</font>
    <font>
      <sz val="10"/>
      <color rgb="FFFF0000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12"/>
      <color indexed="8"/>
      <name val="굴림"/>
      <family val="3"/>
      <charset val="129"/>
    </font>
    <font>
      <b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b/>
      <sz val="2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4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theme="0" tint="-4.9989318521683403E-2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medium">
        <color rgb="FF000000"/>
      </left>
      <right style="thin">
        <color auto="1"/>
      </right>
      <top/>
      <bottom/>
      <diagonal/>
    </border>
  </borders>
  <cellStyleXfs count="9">
    <xf numFmtId="0" fontId="0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2" fillId="0" borderId="0"/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7" fillId="0" borderId="0"/>
    <xf numFmtId="0" fontId="1" fillId="0" borderId="0">
      <alignment vertical="center"/>
    </xf>
    <xf numFmtId="0" fontId="23" fillId="0" borderId="0"/>
    <xf numFmtId="0" fontId="1" fillId="0" borderId="0">
      <alignment vertical="center"/>
    </xf>
  </cellStyleXfs>
  <cellXfs count="252">
    <xf numFmtId="0" fontId="0" fillId="0" borderId="0" xfId="0">
      <alignment vertical="center"/>
    </xf>
    <xf numFmtId="0" fontId="3" fillId="2" borderId="0" xfId="2" applyFont="1" applyFill="1" applyAlignment="1">
      <alignment horizontal="center" vertical="center"/>
    </xf>
    <xf numFmtId="41" fontId="6" fillId="0" borderId="0" xfId="3" applyNumberFormat="1">
      <alignment vertical="center"/>
    </xf>
    <xf numFmtId="0" fontId="3" fillId="2" borderId="0" xfId="2" applyFont="1" applyFill="1" applyAlignment="1">
      <alignment horizontal="center" vertical="center"/>
    </xf>
    <xf numFmtId="0" fontId="6" fillId="2" borderId="0" xfId="3" applyFill="1">
      <alignment vertical="center"/>
    </xf>
    <xf numFmtId="0" fontId="7" fillId="2" borderId="0" xfId="3" quotePrefix="1" applyFont="1" applyFill="1" applyAlignment="1">
      <alignment horizontal="center" vertical="center"/>
    </xf>
    <xf numFmtId="0" fontId="7" fillId="2" borderId="0" xfId="3" quotePrefix="1" applyFont="1" applyFill="1" applyAlignment="1">
      <alignment horizontal="center" vertical="center"/>
    </xf>
    <xf numFmtId="0" fontId="8" fillId="2" borderId="0" xfId="2" applyFont="1" applyFill="1" applyAlignment="1">
      <alignment horizontal="center" vertical="center"/>
    </xf>
    <xf numFmtId="0" fontId="8" fillId="2" borderId="0" xfId="2" applyFont="1" applyFill="1" applyAlignment="1">
      <alignment horizontal="center" vertical="center"/>
    </xf>
    <xf numFmtId="41" fontId="8" fillId="0" borderId="0" xfId="2" applyNumberFormat="1" applyFont="1" applyAlignment="1">
      <alignment horizontal="center" vertical="center"/>
    </xf>
    <xf numFmtId="41" fontId="10" fillId="2" borderId="0" xfId="2" applyNumberFormat="1" applyFont="1" applyFill="1" applyAlignment="1">
      <alignment horizontal="center" vertical="center"/>
    </xf>
    <xf numFmtId="41" fontId="8" fillId="2" borderId="0" xfId="2" applyNumberFormat="1" applyFont="1" applyFill="1" applyAlignment="1">
      <alignment horizontal="center" vertical="center"/>
    </xf>
    <xf numFmtId="0" fontId="8" fillId="3" borderId="0" xfId="3" applyFont="1" applyFill="1" applyAlignment="1">
      <alignment horizontal="left" vertical="center"/>
    </xf>
    <xf numFmtId="0" fontId="10" fillId="3" borderId="0" xfId="3" applyFont="1" applyFill="1">
      <alignment vertical="center"/>
    </xf>
    <xf numFmtId="41" fontId="10" fillId="0" borderId="0" xfId="3" applyNumberFormat="1" applyFont="1">
      <alignment vertical="center"/>
    </xf>
    <xf numFmtId="41" fontId="10" fillId="3" borderId="0" xfId="3" applyNumberFormat="1" applyFont="1" applyFill="1" applyAlignment="1">
      <alignment horizontal="right" vertical="center"/>
    </xf>
    <xf numFmtId="41" fontId="10" fillId="3" borderId="0" xfId="3" applyNumberFormat="1" applyFont="1" applyFill="1">
      <alignment vertical="center"/>
    </xf>
    <xf numFmtId="41" fontId="8" fillId="3" borderId="0" xfId="3" applyNumberFormat="1" applyFont="1" applyFill="1" applyAlignment="1">
      <alignment horizontal="right" vertical="center"/>
    </xf>
    <xf numFmtId="0" fontId="6" fillId="0" borderId="0" xfId="3">
      <alignment vertical="center"/>
    </xf>
    <xf numFmtId="0" fontId="8" fillId="3" borderId="1" xfId="3" applyFont="1" applyFill="1" applyBorder="1" applyAlignment="1">
      <alignment horizontal="center" vertical="center"/>
    </xf>
    <xf numFmtId="0" fontId="8" fillId="3" borderId="2" xfId="3" applyFont="1" applyFill="1" applyBorder="1" applyAlignment="1">
      <alignment horizontal="center" vertical="center"/>
    </xf>
    <xf numFmtId="0" fontId="10" fillId="3" borderId="2" xfId="3" applyFont="1" applyFill="1" applyBorder="1" applyAlignment="1">
      <alignment horizontal="center" vertical="center"/>
    </xf>
    <xf numFmtId="41" fontId="8" fillId="3" borderId="3" xfId="3" applyNumberFormat="1" applyFont="1" applyFill="1" applyBorder="1" applyAlignment="1">
      <alignment horizontal="center" vertical="center"/>
    </xf>
    <xf numFmtId="41" fontId="8" fillId="3" borderId="4" xfId="3" applyNumberFormat="1" applyFont="1" applyFill="1" applyBorder="1" applyAlignment="1">
      <alignment horizontal="center" vertical="center"/>
    </xf>
    <xf numFmtId="41" fontId="8" fillId="3" borderId="0" xfId="3" applyNumberFormat="1" applyFont="1" applyFill="1" applyAlignment="1">
      <alignment horizontal="center" vertical="center"/>
    </xf>
    <xf numFmtId="0" fontId="8" fillId="3" borderId="5" xfId="3" applyFont="1" applyFill="1" applyBorder="1" applyAlignment="1">
      <alignment horizontal="center" vertical="center"/>
    </xf>
    <xf numFmtId="0" fontId="8" fillId="3" borderId="6" xfId="3" applyFont="1" applyFill="1" applyBorder="1" applyAlignment="1">
      <alignment horizontal="center" vertical="center"/>
    </xf>
    <xf numFmtId="0" fontId="10" fillId="3" borderId="6" xfId="3" applyFont="1" applyFill="1" applyBorder="1" applyAlignment="1">
      <alignment horizontal="center" vertical="center"/>
    </xf>
    <xf numFmtId="41" fontId="8" fillId="3" borderId="7" xfId="3" applyNumberFormat="1" applyFont="1" applyFill="1" applyBorder="1" applyAlignment="1">
      <alignment horizontal="center" vertical="center"/>
    </xf>
    <xf numFmtId="41" fontId="8" fillId="3" borderId="8" xfId="3" applyNumberFormat="1" applyFont="1" applyFill="1" applyBorder="1" applyAlignment="1">
      <alignment horizontal="center" vertical="center"/>
    </xf>
    <xf numFmtId="0" fontId="10" fillId="3" borderId="9" xfId="3" applyFont="1" applyFill="1" applyBorder="1" applyAlignment="1">
      <alignment horizontal="center" vertical="center"/>
    </xf>
    <xf numFmtId="0" fontId="10" fillId="3" borderId="0" xfId="3" applyFont="1" applyFill="1" applyAlignment="1">
      <alignment horizontal="center" vertical="center"/>
    </xf>
    <xf numFmtId="0" fontId="10" fillId="3" borderId="0" xfId="3" applyFont="1" applyFill="1" applyAlignment="1">
      <alignment horizontal="centerContinuous" vertical="center"/>
    </xf>
    <xf numFmtId="176" fontId="10" fillId="0" borderId="10" xfId="3" applyNumberFormat="1" applyFont="1" applyBorder="1" applyAlignment="1">
      <alignment horizontal="centerContinuous" vertical="center"/>
    </xf>
    <xf numFmtId="176" fontId="10" fillId="3" borderId="11" xfId="3" applyNumberFormat="1" applyFont="1" applyFill="1" applyBorder="1" applyAlignment="1">
      <alignment horizontal="centerContinuous" vertical="center"/>
    </xf>
    <xf numFmtId="41" fontId="10" fillId="3" borderId="10" xfId="3" applyNumberFormat="1" applyFont="1" applyFill="1" applyBorder="1" applyAlignment="1">
      <alignment horizontal="centerContinuous" vertical="center"/>
    </xf>
    <xf numFmtId="41" fontId="10" fillId="3" borderId="11" xfId="3" applyNumberFormat="1" applyFont="1" applyFill="1" applyBorder="1" applyAlignment="1">
      <alignment horizontal="centerContinuous" vertical="center"/>
    </xf>
    <xf numFmtId="41" fontId="10" fillId="3" borderId="0" xfId="3" applyNumberFormat="1" applyFont="1" applyFill="1" applyAlignment="1">
      <alignment horizontal="centerContinuous" vertical="center"/>
    </xf>
    <xf numFmtId="0" fontId="8" fillId="3" borderId="9" xfId="3" applyFont="1" applyFill="1" applyBorder="1" applyAlignment="1">
      <alignment horizontal="centerContinuous" vertical="center"/>
    </xf>
    <xf numFmtId="176" fontId="10" fillId="0" borderId="10" xfId="4" applyNumberFormat="1" applyFont="1" applyFill="1" applyBorder="1" applyAlignment="1">
      <alignment horizontal="center" vertical="center"/>
    </xf>
    <xf numFmtId="176" fontId="10" fillId="3" borderId="11" xfId="4" applyNumberFormat="1" applyFont="1" applyFill="1" applyBorder="1" applyAlignment="1">
      <alignment horizontal="center" vertical="center"/>
    </xf>
    <xf numFmtId="41" fontId="10" fillId="3" borderId="10" xfId="4" applyFont="1" applyFill="1" applyBorder="1" applyAlignment="1">
      <alignment horizontal="center" vertical="center"/>
    </xf>
    <xf numFmtId="41" fontId="10" fillId="3" borderId="11" xfId="4" applyFont="1" applyFill="1" applyBorder="1" applyAlignment="1">
      <alignment horizontal="center" vertical="center"/>
    </xf>
    <xf numFmtId="41" fontId="10" fillId="3" borderId="0" xfId="4" applyFont="1" applyFill="1" applyBorder="1" applyAlignment="1">
      <alignment horizontal="center" vertical="center"/>
    </xf>
    <xf numFmtId="177" fontId="10" fillId="0" borderId="10" xfId="4" applyNumberFormat="1" applyFont="1" applyFill="1" applyBorder="1" applyAlignment="1">
      <alignment horizontal="center" vertical="center"/>
    </xf>
    <xf numFmtId="177" fontId="10" fillId="0" borderId="11" xfId="4" applyNumberFormat="1" applyFont="1" applyFill="1" applyBorder="1" applyAlignment="1">
      <alignment horizontal="center" vertical="center"/>
    </xf>
    <xf numFmtId="177" fontId="10" fillId="3" borderId="10" xfId="4" applyNumberFormat="1" applyFont="1" applyFill="1" applyBorder="1" applyAlignment="1">
      <alignment horizontal="center" vertical="center"/>
    </xf>
    <xf numFmtId="41" fontId="10" fillId="0" borderId="0" xfId="4" applyFont="1" applyFill="1" applyBorder="1" applyAlignment="1">
      <alignment horizontal="center" vertical="center"/>
    </xf>
    <xf numFmtId="0" fontId="8" fillId="3" borderId="9" xfId="3" applyFont="1" applyFill="1" applyBorder="1" applyAlignment="1">
      <alignment horizontal="left" vertical="center"/>
    </xf>
    <xf numFmtId="0" fontId="8" fillId="3" borderId="0" xfId="3" applyFont="1" applyFill="1" applyAlignment="1">
      <alignment horizontal="distributed" vertical="center"/>
    </xf>
    <xf numFmtId="0" fontId="8" fillId="3" borderId="0" xfId="3" applyFont="1" applyFill="1">
      <alignment vertical="center"/>
    </xf>
    <xf numFmtId="41" fontId="8" fillId="0" borderId="10" xfId="4" applyFont="1" applyFill="1" applyBorder="1" applyAlignment="1">
      <alignment vertical="center"/>
    </xf>
    <xf numFmtId="41" fontId="8" fillId="0" borderId="11" xfId="4" applyFont="1" applyFill="1" applyBorder="1" applyAlignment="1">
      <alignment vertical="center"/>
    </xf>
    <xf numFmtId="41" fontId="8" fillId="3" borderId="10" xfId="4" applyFont="1" applyFill="1" applyBorder="1" applyAlignment="1">
      <alignment vertical="center"/>
    </xf>
    <xf numFmtId="41" fontId="8" fillId="0" borderId="0" xfId="4" applyFont="1" applyFill="1" applyBorder="1" applyAlignment="1">
      <alignment vertical="center"/>
    </xf>
    <xf numFmtId="0" fontId="12" fillId="0" borderId="0" xfId="3" applyFont="1">
      <alignment vertical="center"/>
    </xf>
    <xf numFmtId="49" fontId="10" fillId="3" borderId="9" xfId="3" applyNumberFormat="1" applyFont="1" applyFill="1" applyBorder="1" applyAlignment="1">
      <alignment horizontal="center" vertical="center"/>
    </xf>
    <xf numFmtId="0" fontId="10" fillId="3" borderId="0" xfId="3" applyFont="1" applyFill="1" applyAlignment="1">
      <alignment horizontal="distributed" vertical="center"/>
    </xf>
    <xf numFmtId="41" fontId="10" fillId="0" borderId="9" xfId="4" applyFont="1" applyFill="1" applyBorder="1" applyAlignment="1">
      <alignment vertical="center"/>
    </xf>
    <xf numFmtId="41" fontId="10" fillId="0" borderId="11" xfId="4" applyFont="1" applyFill="1" applyBorder="1" applyAlignment="1">
      <alignment vertical="center"/>
    </xf>
    <xf numFmtId="41" fontId="10" fillId="3" borderId="9" xfId="4" applyFont="1" applyFill="1" applyBorder="1" applyAlignment="1">
      <alignment vertical="center"/>
    </xf>
    <xf numFmtId="41" fontId="10" fillId="0" borderId="0" xfId="4" applyFont="1" applyFill="1" applyBorder="1" applyAlignment="1">
      <alignment vertical="center"/>
    </xf>
    <xf numFmtId="41" fontId="6" fillId="0" borderId="0" xfId="1" applyFont="1">
      <alignment vertical="center"/>
    </xf>
    <xf numFmtId="178" fontId="10" fillId="2" borderId="9" xfId="3" quotePrefix="1" applyNumberFormat="1" applyFont="1" applyFill="1" applyBorder="1" applyAlignment="1">
      <alignment horizontal="right" vertical="center"/>
    </xf>
    <xf numFmtId="0" fontId="10" fillId="0" borderId="0" xfId="3" applyFont="1" applyAlignment="1">
      <alignment horizontal="distributed" vertical="center"/>
    </xf>
    <xf numFmtId="0" fontId="10" fillId="0" borderId="0" xfId="3" applyFont="1">
      <alignment vertical="center"/>
    </xf>
    <xf numFmtId="41" fontId="10" fillId="0" borderId="10" xfId="4" applyFont="1" applyFill="1" applyBorder="1" applyAlignment="1">
      <alignment vertical="center"/>
    </xf>
    <xf numFmtId="41" fontId="10" fillId="2" borderId="10" xfId="4" applyFont="1" applyFill="1" applyBorder="1" applyAlignment="1">
      <alignment vertical="center"/>
    </xf>
    <xf numFmtId="41" fontId="6" fillId="2" borderId="0" xfId="3" applyNumberFormat="1" applyFill="1">
      <alignment vertical="center"/>
    </xf>
    <xf numFmtId="41" fontId="10" fillId="0" borderId="11" xfId="3" applyNumberFormat="1" applyFont="1" applyBorder="1">
      <alignment vertical="center"/>
    </xf>
    <xf numFmtId="0" fontId="10" fillId="2" borderId="0" xfId="3" applyFont="1" applyFill="1" applyAlignment="1">
      <alignment horizontal="distributed" vertical="center"/>
    </xf>
    <xf numFmtId="0" fontId="10" fillId="2" borderId="0" xfId="3" applyFont="1" applyFill="1">
      <alignment vertical="center"/>
    </xf>
    <xf numFmtId="41" fontId="10" fillId="2" borderId="11" xfId="3" applyNumberFormat="1" applyFont="1" applyFill="1" applyBorder="1">
      <alignment vertical="center"/>
    </xf>
    <xf numFmtId="41" fontId="10" fillId="0" borderId="10" xfId="1" applyFont="1" applyFill="1" applyBorder="1" applyAlignment="1">
      <alignment vertical="center"/>
    </xf>
    <xf numFmtId="41" fontId="10" fillId="2" borderId="10" xfId="1" applyFont="1" applyFill="1" applyBorder="1" applyAlignment="1">
      <alignment vertical="center"/>
    </xf>
    <xf numFmtId="178" fontId="10" fillId="2" borderId="9" xfId="3" applyNumberFormat="1" applyFont="1" applyFill="1" applyBorder="1">
      <alignment vertical="center"/>
    </xf>
    <xf numFmtId="178" fontId="8" fillId="2" borderId="9" xfId="3" applyNumberFormat="1" applyFont="1" applyFill="1" applyBorder="1" applyAlignment="1">
      <alignment horizontal="left" vertical="center"/>
    </xf>
    <xf numFmtId="0" fontId="8" fillId="0" borderId="0" xfId="3" applyFont="1" applyAlignment="1">
      <alignment horizontal="distributed" vertical="center"/>
    </xf>
    <xf numFmtId="0" fontId="8" fillId="0" borderId="0" xfId="3" applyFont="1">
      <alignment vertical="center"/>
    </xf>
    <xf numFmtId="0" fontId="12" fillId="2" borderId="0" xfId="3" applyFont="1" applyFill="1">
      <alignment vertical="center"/>
    </xf>
    <xf numFmtId="49" fontId="10" fillId="2" borderId="9" xfId="3" applyNumberFormat="1" applyFont="1" applyFill="1" applyBorder="1" applyAlignment="1">
      <alignment horizontal="center" vertical="center"/>
    </xf>
    <xf numFmtId="41" fontId="10" fillId="2" borderId="0" xfId="3" applyNumberFormat="1" applyFont="1" applyFill="1">
      <alignment vertical="center"/>
    </xf>
    <xf numFmtId="178" fontId="10" fillId="0" borderId="9" xfId="3" quotePrefix="1" applyNumberFormat="1" applyFont="1" applyBorder="1" applyAlignment="1">
      <alignment horizontal="right" vertical="center"/>
    </xf>
    <xf numFmtId="0" fontId="14" fillId="0" borderId="0" xfId="3" applyFont="1">
      <alignment vertical="center"/>
    </xf>
    <xf numFmtId="41" fontId="14" fillId="0" borderId="0" xfId="4" applyFont="1" applyFill="1" applyBorder="1" applyAlignment="1">
      <alignment vertical="center"/>
    </xf>
    <xf numFmtId="0" fontId="6" fillId="2" borderId="9" xfId="3" applyFill="1" applyBorder="1">
      <alignment vertical="center"/>
    </xf>
    <xf numFmtId="0" fontId="8" fillId="2" borderId="9" xfId="3" applyFont="1" applyFill="1" applyBorder="1" applyAlignment="1">
      <alignment horizontal="centerContinuous" vertical="center"/>
    </xf>
    <xf numFmtId="0" fontId="8" fillId="0" borderId="0" xfId="3" applyFont="1" applyAlignment="1">
      <alignment horizontal="centerContinuous" vertical="center"/>
    </xf>
    <xf numFmtId="41" fontId="8" fillId="0" borderId="12" xfId="4" applyFont="1" applyFill="1" applyBorder="1" applyAlignment="1">
      <alignment vertical="center"/>
    </xf>
    <xf numFmtId="41" fontId="10" fillId="2" borderId="0" xfId="1" applyFont="1" applyFill="1">
      <alignment vertical="center"/>
    </xf>
    <xf numFmtId="41" fontId="12" fillId="2" borderId="0" xfId="3" applyNumberFormat="1" applyFont="1" applyFill="1">
      <alignment vertical="center"/>
    </xf>
    <xf numFmtId="0" fontId="10" fillId="0" borderId="0" xfId="3" applyFont="1" applyAlignment="1">
      <alignment horizontal="centerContinuous" vertical="center"/>
    </xf>
    <xf numFmtId="41" fontId="6" fillId="2" borderId="0" xfId="1" applyFont="1" applyFill="1">
      <alignment vertical="center"/>
    </xf>
    <xf numFmtId="0" fontId="10" fillId="2" borderId="9" xfId="3" applyFont="1" applyFill="1" applyBorder="1" applyAlignment="1">
      <alignment horizontal="centerContinuous" vertical="center"/>
    </xf>
    <xf numFmtId="0" fontId="8" fillId="2" borderId="9" xfId="3" applyFont="1" applyFill="1" applyBorder="1" applyAlignment="1">
      <alignment horizontal="left" vertical="center"/>
    </xf>
    <xf numFmtId="0" fontId="10" fillId="2" borderId="9" xfId="3" quotePrefix="1" applyFont="1" applyFill="1" applyBorder="1" applyAlignment="1">
      <alignment horizontal="right" vertical="center"/>
    </xf>
    <xf numFmtId="0" fontId="10" fillId="0" borderId="9" xfId="3" quotePrefix="1" applyFont="1" applyBorder="1" applyAlignment="1">
      <alignment horizontal="right" vertical="center"/>
    </xf>
    <xf numFmtId="0" fontId="8" fillId="0" borderId="9" xfId="3" applyFont="1" applyBorder="1" applyAlignment="1">
      <alignment horizontal="left" vertical="center"/>
    </xf>
    <xf numFmtId="0" fontId="16" fillId="0" borderId="0" xfId="0" applyFont="1">
      <alignment vertical="center"/>
    </xf>
    <xf numFmtId="41" fontId="10" fillId="2" borderId="11" xfId="4" applyFont="1" applyFill="1" applyBorder="1" applyAlignment="1">
      <alignment vertical="center"/>
    </xf>
    <xf numFmtId="41" fontId="16" fillId="0" borderId="0" xfId="0" applyNumberFormat="1" applyFont="1">
      <alignment vertical="center"/>
    </xf>
    <xf numFmtId="178" fontId="10" fillId="0" borderId="9" xfId="3" applyNumberFormat="1" applyFont="1" applyBorder="1">
      <alignment vertical="center"/>
    </xf>
    <xf numFmtId="0" fontId="10" fillId="0" borderId="0" xfId="3" applyFont="1" applyAlignment="1">
      <alignment horizontal="right" vertical="center"/>
    </xf>
    <xf numFmtId="0" fontId="8" fillId="0" borderId="9" xfId="3" applyFont="1" applyBorder="1" applyAlignment="1">
      <alignment horizontal="centerContinuous" vertical="center"/>
    </xf>
    <xf numFmtId="0" fontId="10" fillId="0" borderId="9" xfId="3" applyFont="1" applyBorder="1" applyAlignment="1">
      <alignment horizontal="centerContinuous" vertical="center"/>
    </xf>
    <xf numFmtId="41" fontId="10" fillId="0" borderId="9" xfId="1" applyFont="1" applyFill="1" applyBorder="1" applyAlignment="1">
      <alignment vertical="center"/>
    </xf>
    <xf numFmtId="41" fontId="10" fillId="0" borderId="0" xfId="4" applyFont="1" applyFill="1" applyBorder="1" applyAlignment="1">
      <alignment horizontal="right" vertical="center"/>
    </xf>
    <xf numFmtId="178" fontId="8" fillId="0" borderId="9" xfId="3" applyNumberFormat="1" applyFont="1" applyBorder="1" applyAlignment="1">
      <alignment horizontal="left" vertical="center"/>
    </xf>
    <xf numFmtId="41" fontId="10" fillId="0" borderId="11" xfId="4" applyFont="1" applyFill="1" applyBorder="1" applyAlignment="1">
      <alignment horizontal="right" vertical="center"/>
    </xf>
    <xf numFmtId="41" fontId="10" fillId="0" borderId="0" xfId="4" applyFont="1" applyFill="1" applyBorder="1" applyAlignment="1">
      <alignment horizontal="left" vertical="center"/>
    </xf>
    <xf numFmtId="0" fontId="10" fillId="0" borderId="0" xfId="3" applyFont="1" applyAlignment="1">
      <alignment horizontal="left" vertical="center"/>
    </xf>
    <xf numFmtId="41" fontId="16" fillId="0" borderId="0" xfId="1" applyFont="1">
      <alignment vertical="center"/>
    </xf>
    <xf numFmtId="41" fontId="8" fillId="0" borderId="9" xfId="4" applyFont="1" applyFill="1" applyBorder="1" applyAlignment="1">
      <alignment vertical="center"/>
    </xf>
    <xf numFmtId="41" fontId="10" fillId="0" borderId="13" xfId="4" applyFont="1" applyFill="1" applyBorder="1" applyAlignment="1">
      <alignment vertical="center"/>
    </xf>
    <xf numFmtId="41" fontId="8" fillId="0" borderId="14" xfId="4" applyFont="1" applyFill="1" applyBorder="1" applyAlignment="1">
      <alignment vertical="center"/>
    </xf>
    <xf numFmtId="0" fontId="8" fillId="2" borderId="0" xfId="3" applyFont="1" applyFill="1" applyAlignment="1">
      <alignment horizontal="centerContinuous" vertical="center"/>
    </xf>
    <xf numFmtId="41" fontId="8" fillId="0" borderId="15" xfId="4" applyFont="1" applyFill="1" applyBorder="1" applyAlignment="1">
      <alignment vertical="center"/>
    </xf>
    <xf numFmtId="0" fontId="10" fillId="3" borderId="5" xfId="3" applyFont="1" applyFill="1" applyBorder="1">
      <alignment vertical="center"/>
    </xf>
    <xf numFmtId="0" fontId="10" fillId="3" borderId="6" xfId="3" applyFont="1" applyFill="1" applyBorder="1">
      <alignment vertical="center"/>
    </xf>
    <xf numFmtId="41" fontId="10" fillId="0" borderId="16" xfId="4" applyFont="1" applyFill="1" applyBorder="1" applyAlignment="1">
      <alignment vertical="center"/>
    </xf>
    <xf numFmtId="41" fontId="10" fillId="0" borderId="17" xfId="4" applyFont="1" applyFill="1" applyBorder="1" applyAlignment="1">
      <alignment vertical="center"/>
    </xf>
    <xf numFmtId="41" fontId="10" fillId="3" borderId="16" xfId="4" applyFont="1" applyFill="1" applyBorder="1" applyAlignment="1">
      <alignment vertical="center"/>
    </xf>
    <xf numFmtId="0" fontId="18" fillId="4" borderId="0" xfId="5" applyFont="1" applyFill="1" applyAlignment="1">
      <alignment horizontal="center" vertical="center"/>
    </xf>
    <xf numFmtId="179" fontId="10" fillId="0" borderId="0" xfId="0" applyNumberFormat="1" applyFont="1">
      <alignment vertical="center"/>
    </xf>
    <xf numFmtId="41" fontId="8" fillId="0" borderId="0" xfId="3" applyNumberFormat="1" applyFont="1">
      <alignment vertical="center"/>
    </xf>
    <xf numFmtId="0" fontId="18" fillId="4" borderId="18" xfId="5" applyFont="1" applyFill="1" applyBorder="1" applyAlignment="1">
      <alignment horizontal="center" vertical="center"/>
    </xf>
    <xf numFmtId="0" fontId="18" fillId="4" borderId="19" xfId="5" applyFont="1" applyFill="1" applyBorder="1" applyAlignment="1">
      <alignment horizontal="center" vertical="center"/>
    </xf>
    <xf numFmtId="179" fontId="19" fillId="0" borderId="0" xfId="0" applyNumberFormat="1" applyFont="1">
      <alignment vertical="center"/>
    </xf>
    <xf numFmtId="0" fontId="10" fillId="0" borderId="20" xfId="0" applyFont="1" applyBorder="1">
      <alignment vertical="center"/>
    </xf>
    <xf numFmtId="179" fontId="10" fillId="0" borderId="20" xfId="0" applyNumberFormat="1" applyFont="1" applyBorder="1">
      <alignment vertical="center"/>
    </xf>
    <xf numFmtId="180" fontId="10" fillId="0" borderId="20" xfId="3" applyNumberFormat="1" applyFont="1" applyBorder="1" applyAlignment="1">
      <alignment vertical="center" shrinkToFit="1"/>
    </xf>
    <xf numFmtId="0" fontId="19" fillId="0" borderId="0" xfId="0" applyFont="1">
      <alignment vertical="center"/>
    </xf>
    <xf numFmtId="179" fontId="6" fillId="0" borderId="0" xfId="3" applyNumberFormat="1">
      <alignment vertical="center"/>
    </xf>
    <xf numFmtId="180" fontId="10" fillId="0" borderId="20" xfId="3" applyNumberFormat="1" applyFont="1" applyBorder="1" applyAlignment="1">
      <alignment horizontal="center" vertical="center"/>
    </xf>
    <xf numFmtId="180" fontId="19" fillId="0" borderId="0" xfId="0" applyNumberFormat="1" applyFont="1">
      <alignment vertical="center"/>
    </xf>
    <xf numFmtId="180" fontId="16" fillId="0" borderId="0" xfId="0" applyNumberFormat="1" applyFont="1">
      <alignment vertical="center"/>
    </xf>
    <xf numFmtId="180" fontId="10" fillId="0" borderId="20" xfId="3" applyNumberFormat="1" applyFont="1" applyBorder="1">
      <alignment vertical="center"/>
    </xf>
    <xf numFmtId="180" fontId="10" fillId="0" borderId="0" xfId="3" applyNumberFormat="1" applyFont="1">
      <alignment vertical="center"/>
    </xf>
    <xf numFmtId="179" fontId="8" fillId="0" borderId="0" xfId="6" applyNumberFormat="1" applyFont="1">
      <alignment vertical="center"/>
    </xf>
    <xf numFmtId="181" fontId="10" fillId="0" borderId="0" xfId="6" applyNumberFormat="1" applyFont="1">
      <alignment vertical="center"/>
    </xf>
    <xf numFmtId="179" fontId="10" fillId="0" borderId="0" xfId="6" applyNumberFormat="1" applyFont="1">
      <alignment vertical="center"/>
    </xf>
    <xf numFmtId="179" fontId="10" fillId="0" borderId="0" xfId="6" applyNumberFormat="1" applyFont="1" applyAlignment="1">
      <alignment horizontal="left" vertical="center" indent="1"/>
    </xf>
    <xf numFmtId="180" fontId="6" fillId="0" borderId="0" xfId="3" applyNumberFormat="1">
      <alignment vertical="center"/>
    </xf>
    <xf numFmtId="180" fontId="10" fillId="0" borderId="0" xfId="6" applyNumberFormat="1" applyFont="1">
      <alignment vertical="center"/>
    </xf>
    <xf numFmtId="179" fontId="10" fillId="0" borderId="21" xfId="6" applyNumberFormat="1" applyFont="1" applyBorder="1">
      <alignment vertical="center"/>
    </xf>
    <xf numFmtId="179" fontId="8" fillId="0" borderId="0" xfId="6" applyNumberFormat="1" applyFont="1" applyAlignment="1">
      <alignment vertical="center" shrinkToFit="1"/>
    </xf>
    <xf numFmtId="181" fontId="20" fillId="0" borderId="0" xfId="6" applyNumberFormat="1" applyFont="1">
      <alignment vertical="center"/>
    </xf>
    <xf numFmtId="179" fontId="20" fillId="0" borderId="0" xfId="6" applyNumberFormat="1" applyFont="1">
      <alignment vertical="center"/>
    </xf>
    <xf numFmtId="179" fontId="8" fillId="0" borderId="21" xfId="6" applyNumberFormat="1" applyFont="1" applyBorder="1">
      <alignment vertical="center"/>
    </xf>
    <xf numFmtId="179" fontId="8" fillId="5" borderId="21" xfId="6" applyNumberFormat="1" applyFont="1" applyFill="1" applyBorder="1">
      <alignment vertical="center"/>
    </xf>
    <xf numFmtId="179" fontId="20" fillId="0" borderId="21" xfId="6" applyNumberFormat="1" applyFont="1" applyBorder="1">
      <alignment vertical="center"/>
    </xf>
    <xf numFmtId="41" fontId="10" fillId="0" borderId="0" xfId="6" applyNumberFormat="1" applyFont="1">
      <alignment vertical="center"/>
    </xf>
    <xf numFmtId="0" fontId="21" fillId="3" borderId="0" xfId="2" applyFont="1" applyFill="1" applyAlignment="1">
      <alignment horizontal="centerContinuous" vertical="center"/>
    </xf>
    <xf numFmtId="0" fontId="21" fillId="2" borderId="0" xfId="2" applyFont="1" applyFill="1" applyAlignment="1">
      <alignment horizontal="centerContinuous" vertical="center"/>
    </xf>
    <xf numFmtId="0" fontId="21" fillId="0" borderId="0" xfId="2" applyFont="1" applyAlignment="1">
      <alignment horizontal="centerContinuous" vertical="center"/>
    </xf>
    <xf numFmtId="0" fontId="22" fillId="0" borderId="0" xfId="0" applyFont="1">
      <alignment vertical="center"/>
    </xf>
    <xf numFmtId="0" fontId="24" fillId="3" borderId="0" xfId="7" quotePrefix="1" applyFont="1" applyFill="1" applyAlignment="1">
      <alignment horizontal="center" vertical="center"/>
    </xf>
    <xf numFmtId="0" fontId="25" fillId="2" borderId="0" xfId="2" applyFont="1" applyFill="1" applyAlignment="1">
      <alignment horizontal="center" vertical="center"/>
    </xf>
    <xf numFmtId="0" fontId="26" fillId="3" borderId="0" xfId="2" applyFont="1" applyFill="1" applyAlignment="1">
      <alignment horizontal="center" vertical="center"/>
    </xf>
    <xf numFmtId="41" fontId="26" fillId="0" borderId="0" xfId="2" applyNumberFormat="1" applyFont="1" applyAlignment="1">
      <alignment horizontal="center" vertical="center"/>
    </xf>
    <xf numFmtId="41" fontId="26" fillId="3" borderId="0" xfId="2" applyNumberFormat="1" applyFont="1" applyFill="1" applyAlignment="1">
      <alignment horizontal="center" vertical="center"/>
    </xf>
    <xf numFmtId="41" fontId="26" fillId="3" borderId="0" xfId="4" applyFont="1" applyFill="1" applyAlignment="1">
      <alignment horizontal="center" vertical="center"/>
    </xf>
    <xf numFmtId="0" fontId="25" fillId="3" borderId="0" xfId="2" applyFont="1" applyFill="1" applyAlignment="1">
      <alignment vertical="center"/>
    </xf>
    <xf numFmtId="0" fontId="26" fillId="3" borderId="0" xfId="2" applyFont="1" applyFill="1" applyAlignment="1">
      <alignment vertical="center"/>
    </xf>
    <xf numFmtId="0" fontId="26" fillId="3" borderId="0" xfId="2" applyFont="1" applyFill="1" applyAlignment="1">
      <alignment horizontal="right" vertical="center"/>
    </xf>
    <xf numFmtId="0" fontId="26" fillId="3" borderId="0" xfId="2" applyFont="1" applyFill="1" applyAlignment="1">
      <alignment horizontal="distributed" vertical="center"/>
    </xf>
    <xf numFmtId="41" fontId="26" fillId="0" borderId="0" xfId="2" applyNumberFormat="1" applyFont="1" applyAlignment="1">
      <alignment horizontal="distributed" vertical="center"/>
    </xf>
    <xf numFmtId="41" fontId="26" fillId="3" borderId="0" xfId="2" applyNumberFormat="1" applyFont="1" applyFill="1" applyAlignment="1">
      <alignment horizontal="distributed" vertical="center"/>
    </xf>
    <xf numFmtId="41" fontId="26" fillId="3" borderId="0" xfId="4" applyFont="1" applyFill="1" applyAlignment="1">
      <alignment vertical="center"/>
    </xf>
    <xf numFmtId="41" fontId="25" fillId="3" borderId="0" xfId="2" applyNumberFormat="1" applyFont="1" applyFill="1" applyAlignment="1">
      <alignment horizontal="right" vertical="center"/>
    </xf>
    <xf numFmtId="0" fontId="25" fillId="3" borderId="1" xfId="7" applyFont="1" applyFill="1" applyBorder="1" applyAlignment="1">
      <alignment horizontal="center" vertical="center"/>
    </xf>
    <xf numFmtId="0" fontId="25" fillId="3" borderId="2" xfId="7" applyFont="1" applyFill="1" applyBorder="1" applyAlignment="1">
      <alignment horizontal="center" vertical="center"/>
    </xf>
    <xf numFmtId="0" fontId="25" fillId="3" borderId="22" xfId="7" applyFont="1" applyFill="1" applyBorder="1" applyAlignment="1">
      <alignment horizontal="centerContinuous" vertical="center"/>
    </xf>
    <xf numFmtId="41" fontId="25" fillId="3" borderId="3" xfId="3" applyNumberFormat="1" applyFont="1" applyFill="1" applyBorder="1" applyAlignment="1">
      <alignment horizontal="center" vertical="center"/>
    </xf>
    <xf numFmtId="41" fontId="25" fillId="3" borderId="4" xfId="3" applyNumberFormat="1" applyFont="1" applyFill="1" applyBorder="1" applyAlignment="1">
      <alignment horizontal="center" vertical="center"/>
    </xf>
    <xf numFmtId="0" fontId="25" fillId="3" borderId="5" xfId="7" applyFont="1" applyFill="1" applyBorder="1" applyAlignment="1">
      <alignment horizontal="center" vertical="center"/>
    </xf>
    <xf numFmtId="0" fontId="25" fillId="3" borderId="6" xfId="7" applyFont="1" applyFill="1" applyBorder="1" applyAlignment="1">
      <alignment horizontal="center" vertical="center"/>
    </xf>
    <xf numFmtId="0" fontId="25" fillId="3" borderId="23" xfId="7" applyFont="1" applyFill="1" applyBorder="1" applyAlignment="1">
      <alignment horizontal="centerContinuous" vertical="center"/>
    </xf>
    <xf numFmtId="41" fontId="25" fillId="3" borderId="7" xfId="7" applyNumberFormat="1" applyFont="1" applyFill="1" applyBorder="1" applyAlignment="1">
      <alignment horizontal="center" vertical="center"/>
    </xf>
    <xf numFmtId="41" fontId="25" fillId="3" borderId="8" xfId="7" applyNumberFormat="1" applyFont="1" applyFill="1" applyBorder="1" applyAlignment="1">
      <alignment horizontal="center" vertical="center"/>
    </xf>
    <xf numFmtId="0" fontId="25" fillId="3" borderId="9" xfId="7" applyFont="1" applyFill="1" applyBorder="1" applyAlignment="1">
      <alignment horizontal="center" vertical="center"/>
    </xf>
    <xf numFmtId="0" fontId="25" fillId="3" borderId="2" xfId="7" applyFont="1" applyFill="1" applyBorder="1" applyAlignment="1">
      <alignment horizontal="center" vertical="center"/>
    </xf>
    <xf numFmtId="0" fontId="25" fillId="3" borderId="0" xfId="7" applyFont="1" applyFill="1" applyAlignment="1">
      <alignment horizontal="centerContinuous" vertical="center"/>
    </xf>
    <xf numFmtId="41" fontId="25" fillId="0" borderId="24" xfId="7" applyNumberFormat="1" applyFont="1" applyBorder="1" applyAlignment="1">
      <alignment horizontal="centerContinuous" vertical="center"/>
    </xf>
    <xf numFmtId="41" fontId="25" fillId="3" borderId="11" xfId="7" applyNumberFormat="1" applyFont="1" applyFill="1" applyBorder="1" applyAlignment="1">
      <alignment horizontal="centerContinuous" vertical="center"/>
    </xf>
    <xf numFmtId="41" fontId="25" fillId="3" borderId="24" xfId="7" applyNumberFormat="1" applyFont="1" applyFill="1" applyBorder="1" applyAlignment="1">
      <alignment horizontal="centerContinuous" vertical="center"/>
    </xf>
    <xf numFmtId="0" fontId="25" fillId="3" borderId="9" xfId="7" applyFont="1" applyFill="1" applyBorder="1" applyAlignment="1">
      <alignment horizontal="left" vertical="center"/>
    </xf>
    <xf numFmtId="0" fontId="25" fillId="3" borderId="0" xfId="7" applyFont="1" applyFill="1" applyAlignment="1">
      <alignment horizontal="distributed" vertical="center"/>
    </xf>
    <xf numFmtId="0" fontId="26" fillId="2" borderId="0" xfId="7" applyFont="1" applyFill="1" applyAlignment="1">
      <alignment horizontal="distributed" vertical="center"/>
    </xf>
    <xf numFmtId="0" fontId="26" fillId="3" borderId="0" xfId="7" applyFont="1" applyFill="1" applyAlignment="1">
      <alignment vertical="center"/>
    </xf>
    <xf numFmtId="41" fontId="26" fillId="0" borderId="10" xfId="4" applyFont="1" applyFill="1" applyBorder="1" applyAlignment="1">
      <alignment vertical="center"/>
    </xf>
    <xf numFmtId="41" fontId="25" fillId="3" borderId="11" xfId="7" applyNumberFormat="1" applyFont="1" applyFill="1" applyBorder="1" applyAlignment="1">
      <alignment vertical="center"/>
    </xf>
    <xf numFmtId="41" fontId="26" fillId="3" borderId="25" xfId="4" applyFont="1" applyFill="1" applyBorder="1" applyAlignment="1">
      <alignment vertical="center"/>
    </xf>
    <xf numFmtId="0" fontId="25" fillId="3" borderId="9" xfId="7" quotePrefix="1" applyFont="1" applyFill="1" applyBorder="1" applyAlignment="1">
      <alignment horizontal="right" vertical="center"/>
    </xf>
    <xf numFmtId="0" fontId="26" fillId="0" borderId="0" xfId="7" quotePrefix="1" applyFont="1" applyAlignment="1">
      <alignment horizontal="right" vertical="center"/>
    </xf>
    <xf numFmtId="0" fontId="26" fillId="0" borderId="0" xfId="7" applyFont="1" applyAlignment="1">
      <alignment horizontal="distributed" vertical="center"/>
    </xf>
    <xf numFmtId="0" fontId="26" fillId="0" borderId="0" xfId="7" applyFont="1" applyAlignment="1">
      <alignment vertical="center"/>
    </xf>
    <xf numFmtId="41" fontId="26" fillId="0" borderId="11" xfId="4" applyFont="1" applyFill="1" applyBorder="1" applyAlignment="1">
      <alignment vertical="center"/>
    </xf>
    <xf numFmtId="0" fontId="25" fillId="2" borderId="9" xfId="7" quotePrefix="1" applyFont="1" applyFill="1" applyBorder="1" applyAlignment="1">
      <alignment horizontal="right" vertical="center"/>
    </xf>
    <xf numFmtId="182" fontId="26" fillId="0" borderId="0" xfId="7" quotePrefix="1" applyNumberFormat="1" applyFont="1" applyAlignment="1">
      <alignment horizontal="right" vertical="center"/>
    </xf>
    <xf numFmtId="41" fontId="26" fillId="2" borderId="25" xfId="4" applyFont="1" applyFill="1" applyBorder="1" applyAlignment="1">
      <alignment vertical="center"/>
    </xf>
    <xf numFmtId="41" fontId="26" fillId="2" borderId="10" xfId="4" applyFont="1" applyFill="1" applyBorder="1" applyAlignment="1">
      <alignment vertical="center"/>
    </xf>
    <xf numFmtId="0" fontId="26" fillId="0" borderId="0" xfId="7" applyFont="1" applyAlignment="1">
      <alignment horizontal="distributed" vertical="center"/>
    </xf>
    <xf numFmtId="41" fontId="22" fillId="0" borderId="0" xfId="0" applyNumberFormat="1" applyFont="1">
      <alignment vertical="center"/>
    </xf>
    <xf numFmtId="41" fontId="27" fillId="0" borderId="0" xfId="0" applyNumberFormat="1" applyFont="1">
      <alignment vertical="center"/>
    </xf>
    <xf numFmtId="0" fontId="28" fillId="0" borderId="0" xfId="7" applyFont="1" applyAlignment="1">
      <alignment horizontal="distributed" vertical="center"/>
    </xf>
    <xf numFmtId="41" fontId="26" fillId="0" borderId="25" xfId="4" applyFont="1" applyFill="1" applyBorder="1" applyAlignment="1">
      <alignment vertical="center"/>
    </xf>
    <xf numFmtId="0" fontId="26" fillId="2" borderId="9" xfId="7" applyFont="1" applyFill="1" applyBorder="1" applyAlignment="1">
      <alignment vertical="center"/>
    </xf>
    <xf numFmtId="178" fontId="25" fillId="2" borderId="9" xfId="7" applyNumberFormat="1" applyFont="1" applyFill="1" applyBorder="1" applyAlignment="1">
      <alignment horizontal="left" vertical="center"/>
    </xf>
    <xf numFmtId="178" fontId="25" fillId="0" borderId="0" xfId="7" applyNumberFormat="1" applyFont="1" applyAlignment="1">
      <alignment horizontal="distributed" vertical="center"/>
    </xf>
    <xf numFmtId="41" fontId="25" fillId="0" borderId="11" xfId="4" applyFont="1" applyFill="1" applyBorder="1" applyAlignment="1">
      <alignment vertical="center"/>
    </xf>
    <xf numFmtId="178" fontId="26" fillId="0" borderId="0" xfId="7" applyNumberFormat="1" applyFont="1" applyAlignment="1">
      <alignment horizontal="distributed" vertical="center"/>
    </xf>
    <xf numFmtId="178" fontId="26" fillId="2" borderId="9" xfId="7" applyNumberFormat="1" applyFont="1" applyFill="1" applyBorder="1" applyAlignment="1">
      <alignment vertical="center"/>
    </xf>
    <xf numFmtId="178" fontId="26" fillId="0" borderId="0" xfId="7" applyNumberFormat="1" applyFont="1" applyAlignment="1">
      <alignment vertical="center"/>
    </xf>
    <xf numFmtId="0" fontId="26" fillId="0" borderId="0" xfId="7" applyFont="1" applyAlignment="1">
      <alignment vertical="center"/>
    </xf>
    <xf numFmtId="0" fontId="27" fillId="0" borderId="0" xfId="0" applyFont="1">
      <alignment vertical="center"/>
    </xf>
    <xf numFmtId="178" fontId="26" fillId="0" borderId="9" xfId="7" applyNumberFormat="1" applyFont="1" applyBorder="1" applyAlignment="1">
      <alignment vertical="center"/>
    </xf>
    <xf numFmtId="41" fontId="26" fillId="0" borderId="13" xfId="4" applyFont="1" applyFill="1" applyBorder="1" applyAlignment="1">
      <alignment vertical="center"/>
    </xf>
    <xf numFmtId="178" fontId="26" fillId="0" borderId="0" xfId="7" quotePrefix="1" applyNumberFormat="1" applyFont="1" applyAlignment="1">
      <alignment horizontal="right" vertical="center"/>
    </xf>
    <xf numFmtId="0" fontId="25" fillId="0" borderId="9" xfId="7" quotePrefix="1" applyFont="1" applyBorder="1" applyAlignment="1">
      <alignment horizontal="right" vertical="center"/>
    </xf>
    <xf numFmtId="183" fontId="10" fillId="0" borderId="26" xfId="8" applyNumberFormat="1" applyFont="1" applyBorder="1" applyAlignment="1">
      <alignment horizontal="right" vertical="center" wrapText="1"/>
    </xf>
    <xf numFmtId="183" fontId="22" fillId="0" borderId="0" xfId="0" applyNumberFormat="1" applyFont="1">
      <alignment vertical="center"/>
    </xf>
    <xf numFmtId="3" fontId="22" fillId="0" borderId="0" xfId="0" applyNumberFormat="1" applyFont="1">
      <alignment vertical="center"/>
    </xf>
    <xf numFmtId="178" fontId="26" fillId="2" borderId="0" xfId="7" applyNumberFormat="1" applyFont="1" applyFill="1" applyAlignment="1">
      <alignment vertical="center"/>
    </xf>
    <xf numFmtId="41" fontId="26" fillId="2" borderId="13" xfId="4" applyFont="1" applyFill="1" applyBorder="1" applyAlignment="1">
      <alignment vertical="center"/>
    </xf>
    <xf numFmtId="183" fontId="10" fillId="0" borderId="25" xfId="8" applyNumberFormat="1" applyFont="1" applyBorder="1" applyAlignment="1">
      <alignment horizontal="right" vertical="center" wrapText="1"/>
    </xf>
    <xf numFmtId="178" fontId="26" fillId="2" borderId="0" xfId="7" quotePrefix="1" applyNumberFormat="1" applyFont="1" applyFill="1" applyAlignment="1">
      <alignment horizontal="right" vertical="center"/>
    </xf>
    <xf numFmtId="0" fontId="26" fillId="2" borderId="0" xfId="7" applyFont="1" applyFill="1" applyAlignment="1">
      <alignment horizontal="distributed" vertical="center"/>
    </xf>
    <xf numFmtId="0" fontId="26" fillId="2" borderId="0" xfId="7" applyFont="1" applyFill="1" applyAlignment="1">
      <alignment vertical="center"/>
    </xf>
    <xf numFmtId="178" fontId="25" fillId="2" borderId="0" xfId="7" applyNumberFormat="1" applyFont="1" applyFill="1" applyAlignment="1">
      <alignment horizontal="distributed" vertical="center"/>
    </xf>
    <xf numFmtId="184" fontId="25" fillId="2" borderId="11" xfId="4" applyNumberFormat="1" applyFont="1" applyFill="1" applyBorder="1" applyAlignment="1">
      <alignment vertical="center"/>
    </xf>
    <xf numFmtId="184" fontId="22" fillId="0" borderId="0" xfId="0" applyNumberFormat="1" applyFont="1">
      <alignment vertical="center"/>
    </xf>
    <xf numFmtId="178" fontId="25" fillId="2" borderId="0" xfId="7" applyNumberFormat="1" applyFont="1" applyFill="1" applyAlignment="1">
      <alignment horizontal="distributed" vertical="center"/>
    </xf>
    <xf numFmtId="41" fontId="25" fillId="2" borderId="11" xfId="4" applyFont="1" applyFill="1" applyBorder="1" applyAlignment="1">
      <alignment vertical="center"/>
    </xf>
    <xf numFmtId="0" fontId="26" fillId="0" borderId="0" xfId="7" applyFont="1" applyAlignment="1">
      <alignment horizontal="distributed" vertical="center" shrinkToFit="1"/>
    </xf>
    <xf numFmtId="0" fontId="22" fillId="0" borderId="0" xfId="0" applyFont="1" applyAlignment="1">
      <alignment vertical="center" shrinkToFit="1"/>
    </xf>
    <xf numFmtId="41" fontId="26" fillId="2" borderId="11" xfId="4" applyFont="1" applyFill="1" applyBorder="1" applyAlignment="1">
      <alignment vertical="center"/>
    </xf>
    <xf numFmtId="0" fontId="29" fillId="0" borderId="0" xfId="3" applyFont="1">
      <alignment vertical="center"/>
    </xf>
    <xf numFmtId="0" fontId="30" fillId="0" borderId="0" xfId="7" applyFont="1" applyAlignment="1">
      <alignment horizontal="distributed" vertical="center"/>
    </xf>
    <xf numFmtId="0" fontId="30" fillId="0" borderId="0" xfId="7" applyFont="1" applyAlignment="1">
      <alignment vertical="center"/>
    </xf>
    <xf numFmtId="178" fontId="26" fillId="0" borderId="0" xfId="7" quotePrefix="1" applyNumberFormat="1" applyFont="1" applyAlignment="1">
      <alignment vertical="center"/>
    </xf>
    <xf numFmtId="41" fontId="26" fillId="3" borderId="10" xfId="4" applyFont="1" applyFill="1" applyBorder="1" applyAlignment="1">
      <alignment vertical="center"/>
    </xf>
    <xf numFmtId="178" fontId="31" fillId="0" borderId="0" xfId="7" applyNumberFormat="1" applyFont="1" applyAlignment="1">
      <alignment horizontal="distributed" vertical="center"/>
    </xf>
    <xf numFmtId="178" fontId="25" fillId="0" borderId="9" xfId="7" applyNumberFormat="1" applyFont="1" applyBorder="1" applyAlignment="1">
      <alignment horizontal="left" vertical="center"/>
    </xf>
    <xf numFmtId="178" fontId="25" fillId="3" borderId="9" xfId="7" applyNumberFormat="1" applyFont="1" applyFill="1" applyBorder="1" applyAlignment="1">
      <alignment vertical="center"/>
    </xf>
    <xf numFmtId="41" fontId="25" fillId="0" borderId="12" xfId="4" applyFont="1" applyFill="1" applyBorder="1" applyAlignment="1">
      <alignment vertical="center"/>
    </xf>
    <xf numFmtId="0" fontId="26" fillId="3" borderId="5" xfId="7" applyFont="1" applyFill="1" applyBorder="1" applyAlignment="1">
      <alignment vertical="center"/>
    </xf>
    <xf numFmtId="0" fontId="26" fillId="3" borderId="6" xfId="7" applyFont="1" applyFill="1" applyBorder="1" applyAlignment="1">
      <alignment vertical="center"/>
    </xf>
    <xf numFmtId="41" fontId="26" fillId="0" borderId="16" xfId="4" applyFont="1" applyFill="1" applyBorder="1" applyAlignment="1">
      <alignment vertical="center"/>
    </xf>
    <xf numFmtId="41" fontId="26" fillId="3" borderId="17" xfId="4" applyFont="1" applyFill="1" applyBorder="1" applyAlignment="1">
      <alignment vertical="center"/>
    </xf>
    <xf numFmtId="41" fontId="26" fillId="3" borderId="16" xfId="4" applyFont="1" applyFill="1" applyBorder="1" applyAlignment="1">
      <alignment vertical="center"/>
    </xf>
    <xf numFmtId="41" fontId="22" fillId="0" borderId="0" xfId="1" applyFont="1">
      <alignment vertical="center"/>
    </xf>
  </cellXfs>
  <cellStyles count="9">
    <cellStyle name="쉼표 [0]" xfId="1" builtinId="6"/>
    <cellStyle name="쉼표 [0] 2" xfId="4" xr:uid="{429E6877-9D6D-441D-91A5-2EC8498EAEFE}"/>
    <cellStyle name="표준" xfId="0" builtinId="0"/>
    <cellStyle name="표준 100" xfId="6" xr:uid="{55019D55-293D-4E5B-8517-A9A120030B64}"/>
    <cellStyle name="표준 133" xfId="8" xr:uid="{3B6AF535-CCBA-49BE-89EF-3C5562CAE317}"/>
    <cellStyle name="표준 2" xfId="3" xr:uid="{7476C9FE-72E3-42DF-80D0-0F8F0DA1E39E}"/>
    <cellStyle name="표준_GAAP조정2_시가평가" xfId="5" xr:uid="{DE1D23DC-716D-4374-9D7F-B3D1153F2EC5}"/>
    <cellStyle name="표준_세영주택건설 99 재무제표-수정1" xfId="2" xr:uid="{F1082BB9-6A69-462A-A2E5-BC38B1458051}"/>
    <cellStyle name="표준_아이티_2005(11월말)" xfId="7" xr:uid="{A497B141-0971-4D6F-816F-4FB828A012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223477</xdr:colOff>
      <xdr:row>34</xdr:row>
      <xdr:rowOff>109497</xdr:rowOff>
    </xdr:from>
    <xdr:to>
      <xdr:col>20</xdr:col>
      <xdr:colOff>25821</xdr:colOff>
      <xdr:row>65</xdr:row>
      <xdr:rowOff>41142</xdr:rowOff>
    </xdr:to>
    <xdr:pic>
      <xdr:nvPicPr>
        <xdr:cNvPr id="2" name="그림 2" descr="image001">
          <a:extLst>
            <a:ext uri="{FF2B5EF4-FFF2-40B4-BE49-F238E27FC236}">
              <a16:creationId xmlns:a16="http://schemas.microsoft.com/office/drawing/2014/main" id="{92DC3440-9B6F-4364-88C8-6A5B37877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2277" y="6624597"/>
          <a:ext cx="17480744" cy="5656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1065679</xdr:colOff>
      <xdr:row>114</xdr:row>
      <xdr:rowOff>66674</xdr:rowOff>
    </xdr:from>
    <xdr:to>
      <xdr:col>7</xdr:col>
      <xdr:colOff>779368</xdr:colOff>
      <xdr:row>122</xdr:row>
      <xdr:rowOff>9524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C68C275B-492F-41E6-A5AA-EACF24025883}"/>
            </a:ext>
          </a:extLst>
        </xdr:cNvPr>
        <xdr:cNvSpPr/>
      </xdr:nvSpPr>
      <xdr:spPr>
        <a:xfrm>
          <a:off x="1380004" y="21659849"/>
          <a:ext cx="7419414" cy="1695450"/>
        </a:xfrm>
        <a:prstGeom prst="rect">
          <a:avLst/>
        </a:prstGeom>
        <a:noFill/>
        <a:ln w="53975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8e623b3bf968bc4/&#48148;&#53461;%20&#54868;&#47732;/&#53412;&#50880;&#51064;&#48288;&#49828;&#53944;&#47676;&#53944;(&#51452;)_&#51116;&#47924;&#51228;&#54364;_2025_1Q_&#49569;&#48512;&#50857;.xlsx" TargetMode="External"/><Relationship Id="rId1" Type="http://schemas.openxmlformats.org/officeDocument/2006/relationships/externalLinkPath" Target="&#53412;&#50880;&#51064;&#48288;&#49828;&#53944;&#47676;&#53944;(&#51452;)_&#51116;&#47924;&#51228;&#54364;_2025_1Q_&#49569;&#48512;&#5085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. 재무상태표"/>
      <sheetName val="2. 손익계산서"/>
      <sheetName val="현금흐름표"/>
      <sheetName val="3. 계정별요약명세서(BS)"/>
      <sheetName val="3-1. 미지급금"/>
      <sheetName val="4. 계정별요약명세서(PL)"/>
      <sheetName val="5. 합계잔액시산표"/>
      <sheetName val="6. 계정별원장"/>
      <sheetName val="7. 상장주식평가"/>
      <sheetName val="8. 투자자산명세서"/>
      <sheetName val="9. 선급비용"/>
      <sheetName val="10. 미수수익(관리보수)_FY2025"/>
      <sheetName val="10. 미수수익(이자)_FY2025"/>
      <sheetName val="11. 무형자산감가상각비"/>
      <sheetName val="12. 무형자산명세서"/>
      <sheetName val="13. 집기비품, 임차자산 감가상각비_FY2025"/>
      <sheetName val="14. 집기비품명세서"/>
      <sheetName val="(TP Tower)GAAP조정5_복구충당부채"/>
      <sheetName val="GAAP조정5_복구충당부채"/>
      <sheetName val="16. 한영펀드평가"/>
      <sheetName val="한영펀드_보정"/>
      <sheetName val="히어로4호_보정"/>
      <sheetName val="15. 조합출자금변동(원금기준)"/>
      <sheetName val="17. 조합지분법평가_FY2024"/>
      <sheetName val="17-1. 지분법 보정 검증시트"/>
      <sheetName val="18. 조합출자금(지분법평가반영)"/>
      <sheetName val="19.주주명부"/>
    </sheetNames>
    <sheetDataSet>
      <sheetData sheetId="0">
        <row r="106">
          <cell r="D106">
            <v>2480341169</v>
          </cell>
        </row>
        <row r="118">
          <cell r="E118">
            <v>2275808958</v>
          </cell>
        </row>
      </sheetData>
      <sheetData sheetId="1">
        <row r="101">
          <cell r="H101">
            <v>2480341169</v>
          </cell>
        </row>
      </sheetData>
      <sheetData sheetId="2"/>
      <sheetData sheetId="3">
        <row r="6">
          <cell r="A6" t="str">
            <v>현금및현금성자산</v>
          </cell>
          <cell r="B6" t="str">
            <v>현금</v>
          </cell>
          <cell r="C6">
            <v>1362900</v>
          </cell>
          <cell r="D6">
            <v>10064370815</v>
          </cell>
        </row>
        <row r="7">
          <cell r="B7" t="str">
            <v>농협(011-3906-5924-11)</v>
          </cell>
          <cell r="C7">
            <v>0</v>
          </cell>
        </row>
        <row r="8">
          <cell r="B8" t="str">
            <v>농협(317-0016-4245-01)</v>
          </cell>
          <cell r="C8">
            <v>1</v>
          </cell>
        </row>
        <row r="9">
          <cell r="B9" t="str">
            <v>농협(032-0045-6878-31)</v>
          </cell>
          <cell r="C9">
            <v>0</v>
          </cell>
        </row>
        <row r="10">
          <cell r="B10" t="str">
            <v>농협(301-0231-2438-71)</v>
          </cell>
          <cell r="C10">
            <v>5565</v>
          </cell>
        </row>
        <row r="11">
          <cell r="B11" t="str">
            <v>기업은행(337-014207-01-011)</v>
          </cell>
          <cell r="C11">
            <v>214</v>
          </cell>
        </row>
        <row r="12">
          <cell r="B12" t="str">
            <v>기업은행(337-014207-04-025)</v>
          </cell>
          <cell r="C12">
            <v>0</v>
          </cell>
        </row>
        <row r="13">
          <cell r="B13" t="str">
            <v>기업은행 MMT(551-053891-75-011)</v>
          </cell>
          <cell r="C13">
            <v>2000793812</v>
          </cell>
        </row>
        <row r="14">
          <cell r="B14" t="str">
            <v>산업은행(022-7200-3782-868)</v>
          </cell>
          <cell r="C14">
            <v>482862</v>
          </cell>
        </row>
        <row r="15">
          <cell r="B15" t="str">
            <v>신한은행 MMT(299-021-453451)</v>
          </cell>
          <cell r="C15">
            <v>1440000000</v>
          </cell>
        </row>
        <row r="16">
          <cell r="B16" t="str">
            <v>신한은행(100-033-279244)</v>
          </cell>
          <cell r="C16">
            <v>412917035</v>
          </cell>
        </row>
        <row r="17">
          <cell r="B17" t="str">
            <v>우리은행(1120-201-239926)</v>
          </cell>
          <cell r="C17">
            <v>0</v>
          </cell>
        </row>
        <row r="18">
          <cell r="B18" t="str">
            <v>우리은행(1005-201-412572)</v>
          </cell>
          <cell r="C18">
            <v>640002</v>
          </cell>
        </row>
        <row r="19">
          <cell r="B19" t="str">
            <v>우리은행 MMT(1120-201-239926)</v>
          </cell>
          <cell r="C19">
            <v>502446304</v>
          </cell>
        </row>
        <row r="20">
          <cell r="B20" t="str">
            <v>키움yes저축은행(017-61-13-0147866)</v>
          </cell>
          <cell r="C20">
            <v>0</v>
          </cell>
        </row>
        <row r="21">
          <cell r="B21" t="str">
            <v>키움저축은행(313-61-13-0038257)</v>
          </cell>
          <cell r="C21">
            <v>0</v>
          </cell>
        </row>
        <row r="22">
          <cell r="B22" t="str">
            <v>키움증권 MMF(2770-0677)</v>
          </cell>
          <cell r="C22">
            <v>1205722120</v>
          </cell>
        </row>
        <row r="23">
          <cell r="B23" t="str">
            <v>키움증권(1000-9554-11)</v>
          </cell>
          <cell r="C23">
            <v>0</v>
          </cell>
        </row>
        <row r="24">
          <cell r="B24" t="str">
            <v>키움증권(1000-9579-11)</v>
          </cell>
          <cell r="C24">
            <v>0</v>
          </cell>
        </row>
        <row r="25">
          <cell r="A25" t="str">
            <v>정기예금(현금성자산)</v>
          </cell>
          <cell r="B25" t="str">
            <v>키움yes저축은행(017-61-24-6060039)</v>
          </cell>
          <cell r="C25">
            <v>2800000000</v>
          </cell>
          <cell r="D25">
            <v>4500000000</v>
          </cell>
        </row>
        <row r="26">
          <cell r="B26" t="str">
            <v>키움저축은행(313-61-24-9264752)</v>
          </cell>
          <cell r="C26">
            <v>1200000000</v>
          </cell>
        </row>
        <row r="27">
          <cell r="B27" t="str">
            <v>신한은행(207-002-014976)</v>
          </cell>
          <cell r="C27">
            <v>500000000</v>
          </cell>
        </row>
        <row r="28">
          <cell r="A28" t="str">
            <v>정기예금(단기금융상품)</v>
          </cell>
          <cell r="B28" t="str">
            <v>산업은행(064-9201-9786-868)</v>
          </cell>
          <cell r="C28">
            <v>500000000</v>
          </cell>
          <cell r="D28">
            <v>500000000</v>
          </cell>
        </row>
        <row r="29">
          <cell r="A29" t="str">
            <v>미수금</v>
          </cell>
          <cell r="B29" t="str">
            <v>TP타워 10층 전용부 미화 위탁 관리비 미수금 계상의 건</v>
          </cell>
          <cell r="C29">
            <v>335500</v>
          </cell>
          <cell r="D29">
            <v>91853960</v>
          </cell>
        </row>
        <row r="30">
          <cell r="B30" t="str">
            <v>2025년 2월 급여 지급의 건 (대표이사 2024년 연말정산 납부세액 정산 예정 금액)</v>
          </cell>
          <cell r="C30">
            <v>20186070</v>
          </cell>
        </row>
        <row r="31">
          <cell r="B31" t="str">
            <v>2025년 3월 급여 지급의 건 (대표이사 2024년 연말정산 납부세액 정산 예정 금액)</v>
          </cell>
          <cell r="C31">
            <v>25600490</v>
          </cell>
        </row>
        <row r="32">
          <cell r="B32" t="str">
            <v>2024년 연말정산 납부세액 2회차 납부금액 미수금 계상의 건</v>
          </cell>
          <cell r="C32">
            <v>10920800</v>
          </cell>
        </row>
        <row r="33">
          <cell r="B33" t="str">
            <v>김현정</v>
          </cell>
          <cell r="C33">
            <v>1700</v>
          </cell>
        </row>
        <row r="34">
          <cell r="B34" t="str">
            <v>스마트스코어 미수금 및 개인지출 내역 잘못 사용</v>
          </cell>
          <cell r="C34">
            <v>389400</v>
          </cell>
        </row>
        <row r="35">
          <cell r="B35" t="str">
            <v>TP타워 다우기술 전대보증금</v>
          </cell>
          <cell r="C35">
            <v>34420000</v>
          </cell>
        </row>
        <row r="36">
          <cell r="A36" t="str">
            <v>당기법인세자산</v>
          </cell>
          <cell r="C36">
            <v>442600</v>
          </cell>
          <cell r="D36">
            <v>442600</v>
          </cell>
        </row>
        <row r="37">
          <cell r="A37" t="str">
            <v>미수수익</v>
          </cell>
          <cell r="B37" t="str">
            <v>정기예금이자</v>
          </cell>
          <cell r="C37">
            <v>78273570</v>
          </cell>
          <cell r="D37">
            <v>2690751509</v>
          </cell>
        </row>
        <row r="38">
          <cell r="B38" t="str">
            <v>전분기 미수수익 잔액</v>
          </cell>
        </row>
        <row r="39">
          <cell r="B39" t="str">
            <v>미래창조다우키움시너지M&amp;A·세컨더리투자조합</v>
          </cell>
          <cell r="C39">
            <v>0</v>
          </cell>
        </row>
        <row r="40">
          <cell r="B40" t="str">
            <v>한·영 이노베이션펀드 제1호</v>
          </cell>
          <cell r="C40">
            <v>0</v>
          </cell>
        </row>
        <row r="41">
          <cell r="B41" t="str">
            <v xml:space="preserve">위풍당당콘텐츠코피아-키움문화벤처제2호투자조합 </v>
          </cell>
          <cell r="C41">
            <v>0</v>
          </cell>
        </row>
        <row r="42">
          <cell r="B42" t="str">
            <v>키움-뉴마진글로벌파트너쉽사모투자합자회사</v>
          </cell>
          <cell r="C42">
            <v>0</v>
          </cell>
        </row>
        <row r="43">
          <cell r="B43" t="str">
            <v>키움-신한이노베이션제1호투자조합</v>
          </cell>
          <cell r="C43">
            <v>167495596</v>
          </cell>
        </row>
        <row r="44">
          <cell r="B44" t="str">
            <v>키움뉴히어로1호펀드</v>
          </cell>
          <cell r="C44">
            <v>599979090</v>
          </cell>
        </row>
        <row r="45">
          <cell r="B45" t="str">
            <v>키움히어로제4호사모투자합자회사</v>
          </cell>
          <cell r="C45">
            <v>0</v>
          </cell>
        </row>
        <row r="46">
          <cell r="B46" t="str">
            <v>키움뉴히어로2호기술혁신펀드</v>
          </cell>
          <cell r="C46">
            <v>193037811</v>
          </cell>
        </row>
        <row r="47">
          <cell r="B47" t="str">
            <v>키움뉴히어로3호핀테크혁신펀드</v>
          </cell>
          <cell r="C47">
            <v>84665060</v>
          </cell>
        </row>
        <row r="48">
          <cell r="B48" t="str">
            <v>키움-신한이노베이션제2호투자조합</v>
          </cell>
          <cell r="C48">
            <v>66998464</v>
          </cell>
        </row>
        <row r="49">
          <cell r="B49" t="str">
            <v>키움뉴히어로4호스케일업펀드</v>
          </cell>
          <cell r="C49">
            <v>396595800</v>
          </cell>
        </row>
        <row r="50">
          <cell r="B50" t="str">
            <v>키움뉴히어로5호디지털혁신펀드</v>
          </cell>
          <cell r="C50">
            <v>303988073</v>
          </cell>
        </row>
        <row r="51">
          <cell r="B51" t="str">
            <v>키움뉴히어로6호창업초기펀드</v>
          </cell>
          <cell r="C51">
            <v>226799999.99999997</v>
          </cell>
        </row>
        <row r="52">
          <cell r="B52" t="str">
            <v>키움뉴히어로7호핀테크혁신펀드</v>
          </cell>
          <cell r="C52">
            <v>150000000</v>
          </cell>
        </row>
        <row r="53">
          <cell r="B53" t="str">
            <v>키움뉴히어로8호펀드</v>
          </cell>
          <cell r="C53">
            <v>422918045</v>
          </cell>
        </row>
        <row r="54">
          <cell r="A54" t="str">
            <v>선급금</v>
          </cell>
          <cell r="B54" t="str">
            <v>2월 취소분 81,200원  카드사 미반영되어 선급금 처리(3월분에서 차감 예정)</v>
          </cell>
          <cell r="C54">
            <v>93600</v>
          </cell>
          <cell r="D54">
            <v>93600</v>
          </cell>
        </row>
        <row r="55">
          <cell r="A55" t="str">
            <v>선급비용</v>
          </cell>
          <cell r="B55" t="str">
            <v>해외파견직원 일비를 초과하는 금액 선급비용 상계의 건</v>
          </cell>
          <cell r="C55">
            <v>23443121</v>
          </cell>
          <cell r="D55">
            <v>71484721</v>
          </cell>
        </row>
        <row r="56">
          <cell r="B56" t="str">
            <v>기업정보조회서비스(크레탑)</v>
          </cell>
          <cell r="C56">
            <v>0</v>
          </cell>
        </row>
        <row r="57">
          <cell r="B57" t="str">
            <v>기업정보조회서비스(FnGuide)</v>
          </cell>
          <cell r="C57">
            <v>0</v>
          </cell>
        </row>
        <row r="58">
          <cell r="B58" t="str">
            <v>에프앤가이드(투자분석프로그램) 서비스</v>
          </cell>
          <cell r="C58">
            <v>1320000</v>
          </cell>
        </row>
        <row r="59">
          <cell r="B59" t="str">
            <v xml:space="preserve">MS EA 소프트웨어 </v>
          </cell>
          <cell r="C59">
            <v>1815000.0000000009</v>
          </cell>
        </row>
        <row r="60">
          <cell r="B60" t="str">
            <v>기업정보조회서비스(크레탑) 1회선 추가 및 기업조기경보 서비스</v>
          </cell>
          <cell r="C60">
            <v>0</v>
          </cell>
        </row>
        <row r="61">
          <cell r="B61" t="str">
            <v>키움이앤에스 힐드로사이CC 선불이용권</v>
          </cell>
          <cell r="C61">
            <v>30749600</v>
          </cell>
        </row>
        <row r="62">
          <cell r="B62" t="str">
            <v>기업정보조회서비스(크레탑, 조기경보)</v>
          </cell>
          <cell r="C62">
            <v>14157000</v>
          </cell>
        </row>
        <row r="63">
          <cell r="A63" t="str">
            <v>비유동성이연법인세자산</v>
          </cell>
          <cell r="C63">
            <v>821141896</v>
          </cell>
          <cell r="D63">
            <v>821141896</v>
          </cell>
        </row>
        <row r="64">
          <cell r="A64" t="str">
            <v>비유동성이연법인세부채</v>
          </cell>
          <cell r="C64">
            <v>427857963</v>
          </cell>
          <cell r="D64">
            <v>427857963</v>
          </cell>
        </row>
        <row r="65">
          <cell r="A65" t="str">
            <v>당기법인세부채</v>
          </cell>
          <cell r="C65">
            <v>114570949</v>
          </cell>
          <cell r="D65">
            <v>114570949</v>
          </cell>
        </row>
        <row r="66">
          <cell r="A66" t="str">
            <v>투자주식</v>
          </cell>
          <cell r="B66" t="str">
            <v>에스지씨테크놀로지㈜</v>
          </cell>
          <cell r="C66">
            <v>1000</v>
          </cell>
          <cell r="D66">
            <v>6000</v>
          </cell>
        </row>
        <row r="67">
          <cell r="B67" t="str">
            <v>엔이엠㈜</v>
          </cell>
          <cell r="C67">
            <v>1000</v>
          </cell>
        </row>
        <row r="68">
          <cell r="B68" t="str">
            <v>㈜유스팜코리아(구-프라임팜텍)</v>
          </cell>
          <cell r="C68">
            <v>3000</v>
          </cell>
        </row>
        <row r="69">
          <cell r="B69" t="str">
            <v>㈜에코탑</v>
          </cell>
          <cell r="C69">
            <v>1000</v>
          </cell>
        </row>
        <row r="70">
          <cell r="A70" t="str">
            <v>투자사채</v>
          </cell>
          <cell r="B70" t="str">
            <v>㈜에코탑(전환사채)</v>
          </cell>
          <cell r="C70">
            <v>1000</v>
          </cell>
          <cell r="D70">
            <v>1000</v>
          </cell>
        </row>
        <row r="71">
          <cell r="A71" t="str">
            <v>조합출자금</v>
          </cell>
          <cell r="B71" t="str">
            <v>미래창조다우키움시너지M&amp;A·세컨더리투자조합</v>
          </cell>
          <cell r="C71">
            <v>536372999</v>
          </cell>
          <cell r="D71">
            <v>89799605543</v>
          </cell>
        </row>
        <row r="72">
          <cell r="B72" t="str">
            <v>한·영 이노베이션펀드 제1호</v>
          </cell>
          <cell r="C72">
            <v>2145674737</v>
          </cell>
        </row>
        <row r="73">
          <cell r="B73" t="str">
            <v>위풍당당콘텐츠코리아-키움문화벤처제2호투자조합</v>
          </cell>
          <cell r="C73">
            <v>1133664</v>
          </cell>
        </row>
        <row r="74">
          <cell r="B74" t="str">
            <v>키움-뉴마진글로벌파트너쉽사모투자합자회사</v>
          </cell>
          <cell r="C74">
            <v>0</v>
          </cell>
        </row>
        <row r="75">
          <cell r="B75" t="str">
            <v>키움-신한이노베이션제1호투자조합</v>
          </cell>
          <cell r="C75">
            <v>4130009804</v>
          </cell>
        </row>
        <row r="76">
          <cell r="B76" t="str">
            <v>키움뉴히어로1호펀드( 2024년 지분법 오류분에 대한 2025년 1Q결산 반영 포함)</v>
          </cell>
          <cell r="C76">
            <v>6932734855</v>
          </cell>
        </row>
        <row r="77">
          <cell r="B77" t="str">
            <v>키움히어로제4호사모투자합자회사</v>
          </cell>
          <cell r="C77">
            <v>5492936831</v>
          </cell>
        </row>
        <row r="78">
          <cell r="B78" t="str">
            <v>키움뉴히어로2호기술혁신펀드</v>
          </cell>
          <cell r="C78">
            <v>6100686223</v>
          </cell>
        </row>
        <row r="79">
          <cell r="B79" t="str">
            <v>키움뉴히어로3호펀드( 2024년 지분법 오류분에 대한 2025년 1Q결산 반영 포함)</v>
          </cell>
          <cell r="C79">
            <v>3088996109</v>
          </cell>
        </row>
        <row r="80">
          <cell r="B80" t="str">
            <v>키움-신한이노베이션제2호투자조합</v>
          </cell>
          <cell r="C80">
            <v>6148756034</v>
          </cell>
        </row>
        <row r="81">
          <cell r="B81" t="str">
            <v>키움뉴히어로4호스케일업펀드</v>
          </cell>
          <cell r="C81">
            <v>23864894638</v>
          </cell>
        </row>
        <row r="82">
          <cell r="B82" t="str">
            <v>키움뉴히어로5호펀드( 2024년 지분법 오류분에 대한 2025년 1Q결산 반영 포함)</v>
          </cell>
          <cell r="C82">
            <v>17351747678</v>
          </cell>
        </row>
        <row r="83">
          <cell r="B83" t="str">
            <v>키움뉴히어로6호창업초기펀드</v>
          </cell>
          <cell r="C83">
            <v>5480080037</v>
          </cell>
        </row>
        <row r="84">
          <cell r="B84" t="str">
            <v>키움뉴히어로7호핀테크혁신펀드</v>
          </cell>
          <cell r="C84">
            <v>3087809664</v>
          </cell>
        </row>
        <row r="85">
          <cell r="B85" t="str">
            <v>키움뉴히어로8호펀드</v>
          </cell>
          <cell r="C85">
            <v>5437772270</v>
          </cell>
        </row>
        <row r="86">
          <cell r="A86" t="str">
            <v>운용투자주식</v>
          </cell>
          <cell r="B86" t="str">
            <v>Hummingbird Bioscience Holdings Limited</v>
          </cell>
          <cell r="C86">
            <v>465899902</v>
          </cell>
          <cell r="D86">
            <v>490848438</v>
          </cell>
        </row>
        <row r="87">
          <cell r="B87" t="str">
            <v>디앤에이㈜</v>
          </cell>
          <cell r="C87">
            <v>1000</v>
          </cell>
        </row>
        <row r="88">
          <cell r="B88" t="str">
            <v>디앤에이㈜</v>
          </cell>
          <cell r="C88">
            <v>1000</v>
          </cell>
        </row>
        <row r="89">
          <cell r="B89" t="str">
            <v>㈜성운파마코피아</v>
          </cell>
          <cell r="C89">
            <v>14945536</v>
          </cell>
        </row>
        <row r="90">
          <cell r="B90" t="str">
            <v>에이치와이티씨㈜</v>
          </cell>
          <cell r="C90">
            <v>0</v>
          </cell>
        </row>
        <row r="91">
          <cell r="B91" t="str">
            <v xml:space="preserve">Chengdu Liweijia Technology Co., Ltd. </v>
          </cell>
          <cell r="C91">
            <v>1000</v>
          </cell>
        </row>
        <row r="92">
          <cell r="B92" t="str">
            <v>교보18호기업인수목적㈜</v>
          </cell>
          <cell r="C92">
            <v>10000000</v>
          </cell>
        </row>
        <row r="93">
          <cell r="A93" t="str">
            <v>운용전환사채</v>
          </cell>
          <cell r="D93">
            <v>0</v>
          </cell>
        </row>
        <row r="94">
          <cell r="A94" t="str">
            <v>운용프로젝트투자</v>
          </cell>
          <cell r="B94" t="str">
            <v>㈜서울무비 장난감전사 지누</v>
          </cell>
          <cell r="C94">
            <v>1000</v>
          </cell>
          <cell r="D94">
            <v>1000</v>
          </cell>
        </row>
        <row r="95">
          <cell r="A95" t="str">
            <v>유형자산</v>
          </cell>
          <cell r="B95" t="str">
            <v xml:space="preserve">집기비품 </v>
          </cell>
          <cell r="C95">
            <v>897035625</v>
          </cell>
          <cell r="D95">
            <v>897035625</v>
          </cell>
        </row>
        <row r="96">
          <cell r="B96" t="str">
            <v>집기비품 감가상각누계액</v>
          </cell>
          <cell r="C96">
            <v>810688965</v>
          </cell>
          <cell r="D96">
            <v>810688965</v>
          </cell>
        </row>
        <row r="97">
          <cell r="A97" t="str">
            <v>임차자산개량권</v>
          </cell>
          <cell r="B97" t="str">
            <v>임차자산개량권</v>
          </cell>
          <cell r="C97">
            <v>538541136</v>
          </cell>
          <cell r="D97">
            <v>538541136</v>
          </cell>
        </row>
        <row r="98">
          <cell r="B98" t="str">
            <v>임차자산개량권 감가상각누계액</v>
          </cell>
          <cell r="C98">
            <v>231509140</v>
          </cell>
          <cell r="D98">
            <v>231509140</v>
          </cell>
        </row>
        <row r="99">
          <cell r="A99" t="str">
            <v>무형자산</v>
          </cell>
          <cell r="B99" t="str">
            <v>그룹웨어</v>
          </cell>
          <cell r="C99">
            <v>0</v>
          </cell>
          <cell r="D99">
            <v>301072933</v>
          </cell>
        </row>
        <row r="100">
          <cell r="B100" t="str">
            <v>소프트웨어</v>
          </cell>
          <cell r="C100">
            <v>6932933</v>
          </cell>
        </row>
        <row r="101">
          <cell r="B101" t="str">
            <v>골프회원권(동아)</v>
          </cell>
          <cell r="C101">
            <v>68640000</v>
          </cell>
        </row>
        <row r="102">
          <cell r="B102" t="str">
            <v>골프회원권(스마트스코어)</v>
          </cell>
          <cell r="C102">
            <v>143000000</v>
          </cell>
        </row>
        <row r="103">
          <cell r="B103" t="str">
            <v>회원권</v>
          </cell>
          <cell r="C103">
            <v>82500000</v>
          </cell>
        </row>
        <row r="104">
          <cell r="A104" t="str">
            <v>임차보증금</v>
          </cell>
          <cell r="B104" t="str">
            <v xml:space="preserve">TP Tower(사학연금 서울회관 재건축) 임대보증금 </v>
          </cell>
          <cell r="C104">
            <v>602991000</v>
          </cell>
          <cell r="D104">
            <v>618041000</v>
          </cell>
        </row>
        <row r="105">
          <cell r="B105" t="str">
            <v>오스윗리버 연수원 (다우와키움)</v>
          </cell>
          <cell r="C105">
            <v>15000000</v>
          </cell>
        </row>
        <row r="106">
          <cell r="B106" t="str">
            <v>기타보증금 : 냉,온수기 보증금</v>
          </cell>
          <cell r="C106">
            <v>50000</v>
          </cell>
        </row>
        <row r="107">
          <cell r="A107" t="str">
            <v>기타보증금</v>
          </cell>
          <cell r="B107" t="str">
            <v>골프회원권 : 솔모로CC 1</v>
          </cell>
          <cell r="C107">
            <v>91333333</v>
          </cell>
          <cell r="D107">
            <v>274499999</v>
          </cell>
        </row>
        <row r="108">
          <cell r="B108" t="str">
            <v>골프회원권 : 솔모로CC 2</v>
          </cell>
          <cell r="C108">
            <v>91333333</v>
          </cell>
        </row>
        <row r="109">
          <cell r="B109" t="str">
            <v>골프회원권 : 솔모로CC 3</v>
          </cell>
          <cell r="C109">
            <v>91333333</v>
          </cell>
        </row>
        <row r="110">
          <cell r="B110" t="str">
            <v>㈜핸들포유(대리운전업체) 계약보증금</v>
          </cell>
          <cell r="C110">
            <v>500000</v>
          </cell>
        </row>
        <row r="111">
          <cell r="A111" t="str">
            <v>퇴직연금운용자산</v>
          </cell>
          <cell r="B111" t="str">
            <v>임직원 퇴직연금 DB 부담금, 운용수익</v>
          </cell>
          <cell r="C111">
            <v>201637362</v>
          </cell>
          <cell r="D111">
            <v>201637362</v>
          </cell>
        </row>
        <row r="112">
          <cell r="A112" t="str">
            <v>임원종업원장기대여금</v>
          </cell>
          <cell r="B112" t="str">
            <v>직원주택자금대여(조명수)</v>
          </cell>
          <cell r="C112">
            <v>9722250</v>
          </cell>
          <cell r="D112">
            <v>192500116</v>
          </cell>
        </row>
        <row r="113">
          <cell r="B113" t="str">
            <v>직원주택자금대여(이용묵)</v>
          </cell>
          <cell r="C113">
            <v>17361138</v>
          </cell>
        </row>
        <row r="114">
          <cell r="B114" t="str">
            <v>직원주택자금대여(강길준)</v>
          </cell>
          <cell r="C114">
            <v>22916690</v>
          </cell>
        </row>
        <row r="115">
          <cell r="B115" t="str">
            <v>직원주택자금대여(최희윤)</v>
          </cell>
          <cell r="C115">
            <v>23611135</v>
          </cell>
        </row>
        <row r="116">
          <cell r="B116" t="str">
            <v>직원주택자금대여(황영준)</v>
          </cell>
          <cell r="C116">
            <v>38888903</v>
          </cell>
        </row>
        <row r="117">
          <cell r="B117" t="str">
            <v>직원주택자금대여(허영욱)</v>
          </cell>
          <cell r="C117">
            <v>30000000</v>
          </cell>
        </row>
        <row r="118">
          <cell r="B118" t="str">
            <v>직원주택자금대여(이성민)</v>
          </cell>
          <cell r="C118">
            <v>50000000</v>
          </cell>
        </row>
        <row r="119">
          <cell r="A119" t="str">
            <v>미지급금</v>
          </cell>
          <cell r="B119" t="str">
            <v>[3-1. 미지급금] 시트 참조</v>
          </cell>
          <cell r="C119">
            <v>273742627</v>
          </cell>
          <cell r="D119">
            <v>273742627</v>
          </cell>
        </row>
        <row r="120">
          <cell r="A120" t="str">
            <v>선수금</v>
          </cell>
          <cell r="C120">
            <v>0</v>
          </cell>
          <cell r="D120">
            <v>0</v>
          </cell>
        </row>
        <row r="121">
          <cell r="A121" t="str">
            <v>단기차입금</v>
          </cell>
          <cell r="B121" t="str">
            <v>단기차입금(산업 3782-868)</v>
          </cell>
          <cell r="C121">
            <v>2500000000</v>
          </cell>
          <cell r="D121">
            <v>2500000000</v>
          </cell>
        </row>
        <row r="122">
          <cell r="A122" t="str">
            <v>예수금</v>
          </cell>
          <cell r="B122" t="str">
            <v>근로소득세 외</v>
          </cell>
          <cell r="C122">
            <v>186986330</v>
          </cell>
          <cell r="D122">
            <v>186986330</v>
          </cell>
        </row>
        <row r="123">
          <cell r="A123" t="str">
            <v>예수부가가치세</v>
          </cell>
          <cell r="B123" t="str">
            <v>사무실 전대료 및 관리비 등</v>
          </cell>
          <cell r="C123">
            <v>5364008</v>
          </cell>
          <cell r="D123">
            <v>5364008</v>
          </cell>
        </row>
        <row r="124">
          <cell r="A124" t="str">
            <v>복구충당부채</v>
          </cell>
          <cell r="B124" t="str">
            <v>임차자산개량권</v>
          </cell>
          <cell r="C124">
            <v>134792874</v>
          </cell>
          <cell r="D124">
            <v>134792874</v>
          </cell>
        </row>
        <row r="125">
          <cell r="A125" t="str">
            <v>연차수당부채</v>
          </cell>
          <cell r="B125" t="str">
            <v>2023년 미사용연차수당 충당부채</v>
          </cell>
          <cell r="C125">
            <v>89175000</v>
          </cell>
          <cell r="D125">
            <v>89175000</v>
          </cell>
        </row>
        <row r="126">
          <cell r="A126" t="str">
            <v>임대보증금</v>
          </cell>
          <cell r="B126" t="str">
            <v xml:space="preserve">TP Tower(사학연금 서울회관 재건축) 다우기술 전대보증금 </v>
          </cell>
          <cell r="C126">
            <v>128250000</v>
          </cell>
          <cell r="D126">
            <v>162670000</v>
          </cell>
        </row>
        <row r="127">
          <cell r="B127" t="str">
            <v>TP Tower(사학연금 서울회관 재건축) 임대보증금 (면적 추가분)</v>
          </cell>
          <cell r="C127">
            <v>34420000</v>
          </cell>
        </row>
        <row r="128">
          <cell r="A128" t="str">
            <v>미지급비용</v>
          </cell>
          <cell r="B128" t="str">
            <v>2025년 임직원 경영성과급, 뉴마진, 15호 성과보수 등</v>
          </cell>
          <cell r="C128">
            <v>4356135659</v>
          </cell>
          <cell r="D128">
            <v>4356135659</v>
          </cell>
        </row>
      </sheetData>
      <sheetData sheetId="4"/>
      <sheetData sheetId="5">
        <row r="6">
          <cell r="A6" t="str">
            <v>조합관리보수</v>
          </cell>
          <cell r="B6" t="str">
            <v>미래창조다우키움시너지M&amp;A세컨더리투자조합</v>
          </cell>
          <cell r="C6">
            <v>0</v>
          </cell>
          <cell r="D6">
            <v>2011416510</v>
          </cell>
        </row>
        <row r="7">
          <cell r="B7" t="str">
            <v>한-영 이노베이션펀드 제1호</v>
          </cell>
          <cell r="C7">
            <v>0</v>
          </cell>
        </row>
        <row r="8">
          <cell r="B8" t="str">
            <v xml:space="preserve">위풍당당콘텐츠코피아-키움문화벤처제2호투자조합 </v>
          </cell>
          <cell r="C8">
            <v>0</v>
          </cell>
        </row>
        <row r="9">
          <cell r="B9" t="str">
            <v>키움-뉴마진글로벌파트너쉽사모투자합자회사</v>
          </cell>
          <cell r="C9">
            <v>0</v>
          </cell>
        </row>
        <row r="10">
          <cell r="B10" t="str">
            <v>키움-신한이노베이션제1호투자조합</v>
          </cell>
          <cell r="C10">
            <v>41873899</v>
          </cell>
        </row>
        <row r="11">
          <cell r="B11" t="str">
            <v>키움뉴히어로1호펀드</v>
          </cell>
          <cell r="C11">
            <v>124742814</v>
          </cell>
        </row>
        <row r="12">
          <cell r="B12" t="str">
            <v>키움히어로제4호사모투자합자회사</v>
          </cell>
          <cell r="C12">
            <v>0</v>
          </cell>
        </row>
        <row r="13">
          <cell r="B13" t="str">
            <v>키움뉴히어로2호기술혁신펀드</v>
          </cell>
          <cell r="C13">
            <v>193037811</v>
          </cell>
        </row>
        <row r="14">
          <cell r="B14" t="str">
            <v>키움뉴히어로3호핀테크혁신펀드</v>
          </cell>
          <cell r="C14">
            <v>88788960</v>
          </cell>
        </row>
        <row r="15">
          <cell r="B15" t="str">
            <v>키움-신한 이노베이션 제2호 투자조합</v>
          </cell>
          <cell r="C15">
            <v>66998464</v>
          </cell>
        </row>
        <row r="16">
          <cell r="B16" t="str">
            <v>키움뉴히어로4호스케일업펀드</v>
          </cell>
          <cell r="C16">
            <v>396595800</v>
          </cell>
        </row>
        <row r="17">
          <cell r="B17" t="str">
            <v>키움뉴히어로5호디지털혁신펀드</v>
          </cell>
          <cell r="C17">
            <v>299660717</v>
          </cell>
        </row>
        <row r="18">
          <cell r="B18" t="str">
            <v>키움뉴히어로6호창업초기펀드</v>
          </cell>
          <cell r="C18">
            <v>226799999.99999997</v>
          </cell>
        </row>
        <row r="19">
          <cell r="B19" t="str">
            <v>키움뉴히어로7호핀테크혁신펀드</v>
          </cell>
          <cell r="C19">
            <v>150000000</v>
          </cell>
        </row>
        <row r="20">
          <cell r="B20" t="str">
            <v>키움뉴히어로8호펀드</v>
          </cell>
          <cell r="C20">
            <v>422918045</v>
          </cell>
        </row>
        <row r="21">
          <cell r="A21" t="str">
            <v>조합지분법평가</v>
          </cell>
          <cell r="B21" t="str">
            <v>미래창조다우키움시너지M&amp;A·세컨더리투자조합</v>
          </cell>
          <cell r="C21">
            <v>-217872</v>
          </cell>
          <cell r="D21">
            <v>4101238646.4654846</v>
          </cell>
        </row>
        <row r="22">
          <cell r="B22" t="str">
            <v>한·영 이노베이션펀드 제1호</v>
          </cell>
          <cell r="C22">
            <v>-96359173</v>
          </cell>
        </row>
        <row r="23">
          <cell r="B23" t="str">
            <v>위풍당당콘텐츠코리아-키움문화벤처제2호투자조합</v>
          </cell>
          <cell r="C23">
            <v>6996</v>
          </cell>
        </row>
        <row r="24">
          <cell r="B24" t="str">
            <v>키움-뉴마진글로벌파트너쉽사모투자합자회사</v>
          </cell>
          <cell r="C24">
            <v>0</v>
          </cell>
        </row>
        <row r="25">
          <cell r="B25" t="str">
            <v>키움-신한이노베이션제1호투자조합</v>
          </cell>
          <cell r="C25">
            <v>-21151262</v>
          </cell>
        </row>
        <row r="26">
          <cell r="B26" t="str">
            <v>키움뉴히어로1호펀드</v>
          </cell>
          <cell r="C26">
            <v>-36221285.88717556</v>
          </cell>
        </row>
        <row r="27">
          <cell r="B27" t="str">
            <v xml:space="preserve">키움뉴히어로1호펀드 2024년 지분법 오류분에 대한 2025년 결산 반영 </v>
          </cell>
          <cell r="C27">
            <v>372945083.69999999</v>
          </cell>
        </row>
        <row r="28">
          <cell r="B28" t="str">
            <v>키움히어로제4호사모투자합자회사</v>
          </cell>
          <cell r="C28">
            <v>4033446199</v>
          </cell>
        </row>
        <row r="29">
          <cell r="B29" t="str">
            <v>키움뉴히어로2호기술혁신펀드</v>
          </cell>
          <cell r="C29">
            <v>-37839888</v>
          </cell>
        </row>
        <row r="30">
          <cell r="B30" t="str">
            <v>키움뉴히어로3호핀테크혁신펀드</v>
          </cell>
          <cell r="C30">
            <v>-17085664.800000191</v>
          </cell>
        </row>
        <row r="31">
          <cell r="B31" t="str">
            <v xml:space="preserve">키움뉴히어로3호펀드 2024년 지분법 오류분에 대한 2025년 결산 반영 </v>
          </cell>
          <cell r="C31">
            <v>149135020</v>
          </cell>
        </row>
        <row r="32">
          <cell r="B32" t="str">
            <v>키움-신한이노베이션제2호투자조합</v>
          </cell>
          <cell r="C32">
            <v>-31955336</v>
          </cell>
        </row>
        <row r="33">
          <cell r="B33" t="str">
            <v>키움뉴히어로4호스케일업펀드</v>
          </cell>
          <cell r="C33">
            <v>-60466249</v>
          </cell>
        </row>
        <row r="34">
          <cell r="B34" t="str">
            <v>키움뉴히어로5호디지털혁신펀드</v>
          </cell>
          <cell r="C34">
            <v>-49606685.229118347</v>
          </cell>
        </row>
        <row r="35">
          <cell r="B35" t="str">
            <v xml:space="preserve">키움뉴히어로5호펀드 2024년 지분법 오류분에 대한 2025년 결산 반영 </v>
          </cell>
          <cell r="C35">
            <v>918109</v>
          </cell>
        </row>
        <row r="36">
          <cell r="B36" t="str">
            <v>키움뉴히어로6호창업초기펀드</v>
          </cell>
          <cell r="C36">
            <v>-31598314.318221092</v>
          </cell>
        </row>
        <row r="37">
          <cell r="B37" t="str">
            <v>키움뉴히어로7호핀테크혁신펀드</v>
          </cell>
          <cell r="C37">
            <v>-18359228</v>
          </cell>
        </row>
        <row r="38">
          <cell r="B38" t="str">
            <v>키움뉴히어로8호펀드</v>
          </cell>
          <cell r="C38">
            <v>-54351803</v>
          </cell>
        </row>
        <row r="39">
          <cell r="A39" t="str">
            <v>조합지분법이익</v>
          </cell>
          <cell r="D39">
            <v>4556451407.6999998</v>
          </cell>
        </row>
        <row r="40">
          <cell r="A40" t="str">
            <v>조합지분법손실</v>
          </cell>
          <cell r="D40">
            <v>455212761</v>
          </cell>
        </row>
        <row r="41">
          <cell r="A41" t="str">
            <v>운용투자주식처분이익</v>
          </cell>
          <cell r="D41">
            <v>0</v>
          </cell>
        </row>
        <row r="42">
          <cell r="A42" t="str">
            <v>운용투자사채처분이익</v>
          </cell>
          <cell r="D42">
            <v>0</v>
          </cell>
        </row>
        <row r="43">
          <cell r="A43" t="str">
            <v>조합성과보수</v>
          </cell>
          <cell r="B43" t="str">
            <v xml:space="preserve">한·영 이노베이션펀드 제1호 </v>
          </cell>
          <cell r="C43">
            <v>340000000</v>
          </cell>
          <cell r="D43">
            <v>295832655</v>
          </cell>
        </row>
        <row r="44">
          <cell r="B44" t="str">
            <v>키움-뉴마진글로벌파트너쉽사모투자합자회사</v>
          </cell>
          <cell r="C44">
            <v>-44167345</v>
          </cell>
        </row>
        <row r="45">
          <cell r="A45" t="str">
            <v>조합출자금처분이익</v>
          </cell>
          <cell r="B45" t="str">
            <v>키움-뉴마진글로벌파트너쉽사모투자합자회사</v>
          </cell>
          <cell r="C45">
            <v>6800594</v>
          </cell>
          <cell r="D45">
            <v>6800594</v>
          </cell>
        </row>
        <row r="46">
          <cell r="A46" t="str">
            <v>기타투자수익</v>
          </cell>
          <cell r="D46">
            <v>0</v>
          </cell>
        </row>
        <row r="47">
          <cell r="A47" t="str">
            <v>이자수익</v>
          </cell>
          <cell r="B47" t="str">
            <v>보통예금이자</v>
          </cell>
          <cell r="C47">
            <v>18558114</v>
          </cell>
          <cell r="D47">
            <v>63802308</v>
          </cell>
        </row>
        <row r="48">
          <cell r="B48" t="str">
            <v>정기예금이자</v>
          </cell>
          <cell r="C48">
            <v>45244194</v>
          </cell>
        </row>
        <row r="49">
          <cell r="B49" t="str">
            <v>2023년 퇴직연금운용(DB형)에 따른 이자</v>
          </cell>
          <cell r="C49">
            <v>0</v>
          </cell>
        </row>
        <row r="50">
          <cell r="A50" t="str">
            <v>복구충당부채환입</v>
          </cell>
          <cell r="C50">
            <v>0</v>
          </cell>
          <cell r="D50">
            <v>0</v>
          </cell>
        </row>
        <row r="51">
          <cell r="A51" t="str">
            <v>투자주식처분손실</v>
          </cell>
          <cell r="D51">
            <v>0</v>
          </cell>
        </row>
        <row r="52">
          <cell r="A52" t="str">
            <v>투자사채처분손실</v>
          </cell>
          <cell r="D52">
            <v>0</v>
          </cell>
        </row>
        <row r="53">
          <cell r="A53" t="str">
            <v>조합출자금처분손실</v>
          </cell>
          <cell r="D53">
            <v>0</v>
          </cell>
        </row>
        <row r="54">
          <cell r="A54" t="str">
            <v>운용투자주식처분손실</v>
          </cell>
          <cell r="D54">
            <v>0</v>
          </cell>
        </row>
        <row r="55">
          <cell r="A55" t="str">
            <v>이자비용</v>
          </cell>
          <cell r="D55">
            <v>0</v>
          </cell>
        </row>
        <row r="57">
          <cell r="A57" t="str">
            <v>이자비용(차입금이자)</v>
          </cell>
          <cell r="B57" t="str">
            <v>KDB산업은행 신용대출 단기차입금 이자비용</v>
          </cell>
          <cell r="C57">
            <v>29979234</v>
          </cell>
          <cell r="D57">
            <v>29979234</v>
          </cell>
        </row>
        <row r="58">
          <cell r="A58" t="str">
            <v>복구충당부채전입</v>
          </cell>
          <cell r="B58" t="str">
            <v>TP타워 2024년 복구충당부채전입</v>
          </cell>
          <cell r="C58">
            <v>1354326</v>
          </cell>
          <cell r="D58">
            <v>1354326</v>
          </cell>
        </row>
        <row r="59">
          <cell r="A59" t="str">
            <v>임차자산개량권감가상각비</v>
          </cell>
          <cell r="C59">
            <v>0</v>
          </cell>
          <cell r="D59">
            <v>0</v>
          </cell>
        </row>
        <row r="60">
          <cell r="A60" t="str">
            <v>단기매매증권평가이익</v>
          </cell>
          <cell r="C60">
            <v>0</v>
          </cell>
          <cell r="D60">
            <v>0</v>
          </cell>
        </row>
        <row r="61">
          <cell r="A61" t="str">
            <v>운용투자사채처분손실</v>
          </cell>
          <cell r="C61">
            <v>0</v>
          </cell>
          <cell r="D61">
            <v>0</v>
          </cell>
        </row>
        <row r="62">
          <cell r="A62" t="str">
            <v>영업외수익</v>
          </cell>
        </row>
        <row r="63">
          <cell r="A63" t="str">
            <v>유형자산처분이익</v>
          </cell>
          <cell r="B63" t="str">
            <v>집기비품 임직원 매각</v>
          </cell>
          <cell r="C63">
            <v>9000</v>
          </cell>
          <cell r="D63">
            <v>9000</v>
          </cell>
        </row>
        <row r="64">
          <cell r="A64" t="str">
            <v>이자수익(임직원대여금)</v>
          </cell>
          <cell r="C64">
            <v>1257480</v>
          </cell>
          <cell r="D64">
            <v>1257480</v>
          </cell>
        </row>
        <row r="65">
          <cell r="A65" t="str">
            <v>잡이익</v>
          </cell>
          <cell r="B65" t="str">
            <v>힐드로사이 선불권 6% 바우처 (3천만원의 6%, 180만원) 포함</v>
          </cell>
          <cell r="C65">
            <v>1813100</v>
          </cell>
          <cell r="D65">
            <v>1813100</v>
          </cell>
        </row>
        <row r="66">
          <cell r="A66" t="str">
            <v>영업외비용</v>
          </cell>
        </row>
        <row r="67">
          <cell r="A67" t="str">
            <v>기부금</v>
          </cell>
          <cell r="D67">
            <v>0</v>
          </cell>
        </row>
        <row r="68">
          <cell r="A68" t="str">
            <v>유형자산처분손실</v>
          </cell>
          <cell r="C68">
            <v>0</v>
          </cell>
          <cell r="D68">
            <v>0</v>
          </cell>
        </row>
        <row r="69">
          <cell r="A69" t="str">
            <v>유형자산폐기손실</v>
          </cell>
          <cell r="D69">
            <v>0</v>
          </cell>
        </row>
        <row r="70">
          <cell r="A70" t="str">
            <v>기타비유동자산손상차손</v>
          </cell>
          <cell r="D70">
            <v>0</v>
          </cell>
        </row>
        <row r="71">
          <cell r="A71" t="str">
            <v>잡손실</v>
          </cell>
          <cell r="C71">
            <v>0</v>
          </cell>
          <cell r="D71">
            <v>0</v>
          </cell>
        </row>
        <row r="72">
          <cell r="A72" t="str">
            <v xml:space="preserve">법인세비용 </v>
          </cell>
          <cell r="C72">
            <v>0</v>
          </cell>
          <cell r="D72">
            <v>0</v>
          </cell>
        </row>
      </sheetData>
      <sheetData sheetId="6"/>
      <sheetData sheetId="7"/>
      <sheetData sheetId="8"/>
      <sheetData sheetId="9">
        <row r="8">
          <cell r="P8">
            <v>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C2F22-3584-4FD6-993A-1220A905707E}">
  <dimension ref="A1:BB168"/>
  <sheetViews>
    <sheetView showGridLines="0" view="pageBreakPreview" topLeftCell="A52" zoomScale="85" zoomScaleNormal="85" zoomScaleSheetLayoutView="85" workbookViewId="0">
      <selection activeCell="I183" sqref="I183"/>
    </sheetView>
  </sheetViews>
  <sheetFormatPr defaultColWidth="9.140625" defaultRowHeight="17.25" customHeight="1" x14ac:dyDescent="0.2"/>
  <cols>
    <col min="1" max="1" width="4.7109375" style="18" customWidth="1"/>
    <col min="2" max="2" width="29.140625" style="18" customWidth="1"/>
    <col min="3" max="3" width="0.7109375" style="18" customWidth="1"/>
    <col min="4" max="8" width="21.42578125" style="2" customWidth="1"/>
    <col min="9" max="9" width="32" style="18" customWidth="1"/>
    <col min="10" max="19" width="21.42578125" style="18" customWidth="1"/>
    <col min="20" max="83" width="18.85546875" style="18" customWidth="1"/>
    <col min="84" max="16384" width="9.140625" style="18"/>
  </cols>
  <sheetData>
    <row r="1" spans="1:11" s="4" customFormat="1" ht="25.5" customHeight="1" x14ac:dyDescent="0.2">
      <c r="A1" s="1" t="s">
        <v>0</v>
      </c>
      <c r="B1" s="1"/>
      <c r="C1" s="1"/>
      <c r="D1" s="1"/>
      <c r="E1" s="1"/>
      <c r="F1" s="1"/>
      <c r="G1" s="1"/>
      <c r="H1" s="2"/>
      <c r="I1" s="2"/>
      <c r="J1" s="2"/>
      <c r="K1" s="3"/>
    </row>
    <row r="2" spans="1:11" s="4" customFormat="1" ht="13.5" customHeight="1" x14ac:dyDescent="0.2">
      <c r="A2" s="5" t="s">
        <v>1</v>
      </c>
      <c r="B2" s="5"/>
      <c r="C2" s="5"/>
      <c r="D2" s="5"/>
      <c r="E2" s="5"/>
      <c r="F2" s="5"/>
      <c r="G2" s="5"/>
      <c r="H2" s="2"/>
      <c r="I2" s="2"/>
      <c r="J2" s="2"/>
      <c r="K2" s="6"/>
    </row>
    <row r="3" spans="1:11" s="4" customFormat="1" ht="13.5" customHeight="1" x14ac:dyDescent="0.2">
      <c r="A3" s="7" t="s">
        <v>2</v>
      </c>
      <c r="B3" s="7"/>
      <c r="C3" s="7"/>
      <c r="D3" s="7"/>
      <c r="E3" s="7"/>
      <c r="F3" s="7"/>
      <c r="G3" s="7"/>
      <c r="H3" s="2"/>
      <c r="I3" s="2"/>
      <c r="J3" s="2"/>
      <c r="K3" s="8"/>
    </row>
    <row r="4" spans="1:11" s="4" customFormat="1" ht="13.5" customHeight="1" x14ac:dyDescent="0.2">
      <c r="A4" s="7" t="s">
        <v>3</v>
      </c>
      <c r="B4" s="7"/>
      <c r="C4" s="7"/>
      <c r="D4" s="7"/>
      <c r="E4" s="7"/>
      <c r="F4" s="7"/>
      <c r="G4" s="7"/>
      <c r="H4" s="2"/>
      <c r="I4" s="2"/>
      <c r="J4" s="2"/>
      <c r="K4" s="8"/>
    </row>
    <row r="5" spans="1:11" s="4" customFormat="1" ht="13.5" customHeight="1" x14ac:dyDescent="0.2">
      <c r="A5" s="8"/>
      <c r="B5" s="8"/>
      <c r="C5" s="8"/>
      <c r="D5" s="9"/>
      <c r="E5" s="10"/>
      <c r="F5" s="11"/>
      <c r="G5" s="11"/>
      <c r="H5" s="11"/>
    </row>
    <row r="6" spans="1:11" ht="15.75" customHeight="1" thickBot="1" x14ac:dyDescent="0.25">
      <c r="A6" s="12" t="s">
        <v>4</v>
      </c>
      <c r="B6" s="13"/>
      <c r="C6" s="13"/>
      <c r="D6" s="14"/>
      <c r="E6" s="15"/>
      <c r="F6" s="16"/>
      <c r="G6" s="17" t="s">
        <v>5</v>
      </c>
      <c r="H6" s="17"/>
    </row>
    <row r="7" spans="1:11" ht="17.25" customHeight="1" x14ac:dyDescent="0.2">
      <c r="A7" s="19" t="s">
        <v>6</v>
      </c>
      <c r="B7" s="20"/>
      <c r="C7" s="21"/>
      <c r="D7" s="22" t="s">
        <v>7</v>
      </c>
      <c r="E7" s="23"/>
      <c r="F7" s="22" t="s">
        <v>8</v>
      </c>
      <c r="G7" s="23"/>
      <c r="H7" s="24"/>
    </row>
    <row r="8" spans="1:11" ht="17.25" customHeight="1" thickBot="1" x14ac:dyDescent="0.25">
      <c r="A8" s="25"/>
      <c r="B8" s="26"/>
      <c r="C8" s="27"/>
      <c r="D8" s="28" t="s">
        <v>9</v>
      </c>
      <c r="E8" s="29"/>
      <c r="F8" s="28" t="s">
        <v>9</v>
      </c>
      <c r="G8" s="29"/>
      <c r="H8" s="24"/>
    </row>
    <row r="9" spans="1:11" ht="9.9499999999999993" customHeight="1" x14ac:dyDescent="0.2">
      <c r="A9" s="30"/>
      <c r="B9" s="31"/>
      <c r="C9" s="32"/>
      <c r="D9" s="33"/>
      <c r="E9" s="34"/>
      <c r="F9" s="35"/>
      <c r="G9" s="36"/>
      <c r="H9" s="37"/>
    </row>
    <row r="10" spans="1:11" ht="13.5" customHeight="1" x14ac:dyDescent="0.2">
      <c r="A10" s="38" t="s">
        <v>10</v>
      </c>
      <c r="B10" s="32"/>
      <c r="C10" s="32"/>
      <c r="D10" s="39"/>
      <c r="E10" s="40"/>
      <c r="F10" s="41"/>
      <c r="G10" s="42"/>
      <c r="H10" s="43"/>
    </row>
    <row r="11" spans="1:11" ht="9.9499999999999993" customHeight="1" x14ac:dyDescent="0.2">
      <c r="A11" s="38"/>
      <c r="B11" s="32"/>
      <c r="C11" s="32"/>
      <c r="D11" s="44"/>
      <c r="E11" s="45"/>
      <c r="F11" s="46"/>
      <c r="G11" s="45"/>
      <c r="H11" s="47"/>
    </row>
    <row r="12" spans="1:11" s="55" customFormat="1" ht="15.95" customHeight="1" x14ac:dyDescent="0.2">
      <c r="A12" s="48" t="s">
        <v>11</v>
      </c>
      <c r="B12" s="49" t="s">
        <v>12</v>
      </c>
      <c r="C12" s="50"/>
      <c r="D12" s="51"/>
      <c r="E12" s="52">
        <f>E13</f>
        <v>13437192180</v>
      </c>
      <c r="F12" s="53"/>
      <c r="G12" s="52">
        <v>14519515087</v>
      </c>
      <c r="H12" s="54"/>
    </row>
    <row r="13" spans="1:11" ht="15.95" customHeight="1" x14ac:dyDescent="0.2">
      <c r="A13" s="56" t="s">
        <v>13</v>
      </c>
      <c r="B13" s="57" t="s">
        <v>14</v>
      </c>
      <c r="C13" s="13"/>
      <c r="D13" s="58"/>
      <c r="E13" s="59">
        <f>SUM(D14:D24)</f>
        <v>13437192180</v>
      </c>
      <c r="F13" s="60"/>
      <c r="G13" s="59">
        <v>14519515087</v>
      </c>
      <c r="H13" s="61"/>
      <c r="I13" s="62"/>
    </row>
    <row r="14" spans="1:11" s="4" customFormat="1" ht="15.95" customHeight="1" x14ac:dyDescent="0.2">
      <c r="A14" s="63" t="s">
        <v>15</v>
      </c>
      <c r="B14" s="64" t="s">
        <v>16</v>
      </c>
      <c r="C14" s="65"/>
      <c r="D14" s="66">
        <f>IFERROR(VLOOKUP(B14,'[1]3. 계정별요약명세서(BS)'!$A$6:$D$125,4,FALSE),"")</f>
        <v>10064370815</v>
      </c>
      <c r="E14" s="59"/>
      <c r="F14" s="67">
        <v>11062521455</v>
      </c>
      <c r="G14" s="59"/>
      <c r="H14" s="61"/>
    </row>
    <row r="15" spans="1:11" s="4" customFormat="1" ht="15.95" customHeight="1" x14ac:dyDescent="0.2">
      <c r="A15" s="63" t="s">
        <v>17</v>
      </c>
      <c r="B15" s="64" t="s">
        <v>18</v>
      </c>
      <c r="C15" s="65"/>
      <c r="D15" s="66">
        <f>'[1]3. 계정별요약명세서(BS)'!D28</f>
        <v>500000000</v>
      </c>
      <c r="E15" s="59"/>
      <c r="F15" s="67">
        <v>500000000</v>
      </c>
      <c r="G15" s="59"/>
      <c r="H15" s="61"/>
      <c r="I15" s="68"/>
    </row>
    <row r="16" spans="1:11" s="4" customFormat="1" ht="15.95" customHeight="1" x14ac:dyDescent="0.2">
      <c r="A16" s="63" t="s">
        <v>19</v>
      </c>
      <c r="B16" s="64" t="s">
        <v>20</v>
      </c>
      <c r="C16" s="65"/>
      <c r="D16" s="66">
        <f>'[1]8. 투자자산명세서'!P8</f>
        <v>0</v>
      </c>
      <c r="E16" s="69"/>
      <c r="F16" s="67">
        <v>0</v>
      </c>
      <c r="G16" s="69"/>
      <c r="H16" s="14"/>
    </row>
    <row r="17" spans="1:10" s="4" customFormat="1" ht="15.95" customHeight="1" x14ac:dyDescent="0.2">
      <c r="A17" s="63" t="s">
        <v>21</v>
      </c>
      <c r="B17" s="70" t="s">
        <v>22</v>
      </c>
      <c r="C17" s="71"/>
      <c r="D17" s="66">
        <f>ROUND(IFERROR(VLOOKUP(B17,'[1]3. 계정별요약명세서(BS)'!$A$6:$D$125,4,FALSE),""),0)</f>
        <v>2690751509</v>
      </c>
      <c r="E17" s="72"/>
      <c r="F17" s="67">
        <v>2901082719</v>
      </c>
      <c r="G17" s="69"/>
      <c r="H17" s="14"/>
      <c r="J17" s="68"/>
    </row>
    <row r="18" spans="1:10" s="4" customFormat="1" ht="15.95" customHeight="1" x14ac:dyDescent="0.2">
      <c r="A18" s="63">
        <v>5</v>
      </c>
      <c r="B18" s="70" t="s">
        <v>23</v>
      </c>
      <c r="C18" s="71"/>
      <c r="D18" s="66">
        <f>IFERROR(VLOOKUP(B18,'[1]3. 계정별요약명세서(BS)'!$A$6:$D$125,4,FALSE),"")</f>
        <v>91853960</v>
      </c>
      <c r="E18" s="72"/>
      <c r="F18" s="67">
        <v>372200</v>
      </c>
      <c r="G18" s="69"/>
      <c r="H18" s="14"/>
      <c r="I18" s="68"/>
    </row>
    <row r="19" spans="1:10" s="4" customFormat="1" ht="15.95" customHeight="1" x14ac:dyDescent="0.2">
      <c r="A19" s="63">
        <v>6</v>
      </c>
      <c r="B19" s="70" t="s">
        <v>24</v>
      </c>
      <c r="C19" s="71"/>
      <c r="D19" s="73" t="str">
        <f>IFERROR(VLOOKUP(B19,'[1]3. 계정별요약명세서(BS)'!$A$6:$D$125,4,FALSE),"")</f>
        <v/>
      </c>
      <c r="E19" s="72"/>
      <c r="F19" s="74" t="s">
        <v>25</v>
      </c>
      <c r="G19" s="69"/>
      <c r="H19" s="14"/>
    </row>
    <row r="20" spans="1:10" s="4" customFormat="1" ht="15.95" customHeight="1" x14ac:dyDescent="0.2">
      <c r="A20" s="63">
        <v>7</v>
      </c>
      <c r="B20" s="64" t="s">
        <v>26</v>
      </c>
      <c r="C20" s="65"/>
      <c r="D20" s="66">
        <f>IFERROR(VLOOKUP(B20,'[1]3. 계정별요약명세서(BS)'!$A$6:$D$125,4,FALSE),"")</f>
        <v>93600</v>
      </c>
      <c r="E20" s="69"/>
      <c r="F20" s="67">
        <v>0</v>
      </c>
      <c r="G20" s="69"/>
      <c r="H20" s="14"/>
    </row>
    <row r="21" spans="1:10" s="4" customFormat="1" ht="15.95" customHeight="1" x14ac:dyDescent="0.2">
      <c r="A21" s="63">
        <v>8</v>
      </c>
      <c r="B21" s="64" t="s">
        <v>27</v>
      </c>
      <c r="C21" s="65"/>
      <c r="D21" s="66" t="str">
        <f>IFERROR(VLOOKUP(B21,'[1]3. 계정별요약명세서(BS)'!$A$6:$D$125,4,FALSE),"")</f>
        <v/>
      </c>
      <c r="E21" s="69"/>
      <c r="F21" s="67" t="s">
        <v>25</v>
      </c>
      <c r="G21" s="69"/>
      <c r="H21" s="14"/>
    </row>
    <row r="22" spans="1:10" s="4" customFormat="1" ht="15.95" customHeight="1" x14ac:dyDescent="0.2">
      <c r="A22" s="63">
        <v>9</v>
      </c>
      <c r="B22" s="64" t="s">
        <v>28</v>
      </c>
      <c r="C22" s="65"/>
      <c r="D22" s="66">
        <f>IFERROR(VLOOKUP(B22,'[1]3. 계정별요약명세서(BS)'!$A$6:$D$125,4,FALSE),"")</f>
        <v>71484721</v>
      </c>
      <c r="E22" s="69"/>
      <c r="F22" s="67">
        <v>36901138</v>
      </c>
      <c r="G22" s="69"/>
      <c r="H22" s="61"/>
    </row>
    <row r="23" spans="1:10" s="4" customFormat="1" ht="15.95" customHeight="1" x14ac:dyDescent="0.2">
      <c r="A23" s="63">
        <v>10</v>
      </c>
      <c r="B23" s="64" t="s">
        <v>29</v>
      </c>
      <c r="C23" s="65"/>
      <c r="D23" s="66">
        <f>IFERROR(VLOOKUP(B23,'[1]3. 계정별요약명세서(BS)'!$A$6:$D$125,4,FALSE),"")-G121</f>
        <v>0</v>
      </c>
      <c r="E23" s="69"/>
      <c r="F23" s="74">
        <v>0</v>
      </c>
      <c r="G23" s="69"/>
      <c r="H23" s="54"/>
    </row>
    <row r="24" spans="1:10" s="4" customFormat="1" ht="15.95" customHeight="1" x14ac:dyDescent="0.2">
      <c r="A24" s="63">
        <v>11</v>
      </c>
      <c r="B24" s="64" t="s">
        <v>30</v>
      </c>
      <c r="C24" s="65"/>
      <c r="D24" s="66">
        <f>18637575+E119</f>
        <v>18637575</v>
      </c>
      <c r="E24" s="69"/>
      <c r="F24" s="74">
        <v>18637575</v>
      </c>
      <c r="G24" s="69"/>
      <c r="H24" s="61"/>
    </row>
    <row r="25" spans="1:10" s="4" customFormat="1" ht="9.9499999999999993" customHeight="1" x14ac:dyDescent="0.2">
      <c r="A25" s="75"/>
      <c r="B25" s="64"/>
      <c r="C25" s="65"/>
      <c r="D25" s="66" t="str">
        <f>IFERROR(VLOOKUP(B25,'[1]3. 계정별요약명세서(BS)'!$A$6:$D$125,4,FALSE),"")</f>
        <v/>
      </c>
      <c r="E25" s="59"/>
      <c r="F25" s="67" t="s">
        <v>25</v>
      </c>
      <c r="G25" s="59"/>
      <c r="H25" s="61"/>
    </row>
    <row r="26" spans="1:10" s="79" customFormat="1" ht="15.95" customHeight="1" x14ac:dyDescent="0.2">
      <c r="A26" s="76" t="s">
        <v>31</v>
      </c>
      <c r="B26" s="77" t="s">
        <v>32</v>
      </c>
      <c r="C26" s="78"/>
      <c r="D26" s="66" t="str">
        <f>IFERROR(VLOOKUP(B26,'[1]3. 계정별요약명세서(BS)'!$A$6:$D$125,4,FALSE),"")</f>
        <v/>
      </c>
      <c r="E26" s="52">
        <f>E27+E31</f>
        <v>90290461981</v>
      </c>
      <c r="F26" s="67" t="s">
        <v>25</v>
      </c>
      <c r="G26" s="52">
        <v>83918321380.300003</v>
      </c>
      <c r="H26" s="61"/>
    </row>
    <row r="27" spans="1:10" s="4" customFormat="1" ht="15.95" customHeight="1" x14ac:dyDescent="0.2">
      <c r="A27" s="80" t="s">
        <v>13</v>
      </c>
      <c r="B27" s="64" t="s">
        <v>33</v>
      </c>
      <c r="C27" s="65"/>
      <c r="D27" s="51" t="str">
        <f>IFERROR(VLOOKUP(B27,'[1]3. 계정별요약명세서(BS)'!$A$6:$D$125,4,FALSE),"")</f>
        <v/>
      </c>
      <c r="E27" s="59">
        <f>SUM(D28:D30)</f>
        <v>7000</v>
      </c>
      <c r="F27" s="67" t="s">
        <v>25</v>
      </c>
      <c r="G27" s="59">
        <v>7000</v>
      </c>
      <c r="H27" s="61"/>
    </row>
    <row r="28" spans="1:10" s="4" customFormat="1" ht="15.95" customHeight="1" x14ac:dyDescent="0.2">
      <c r="A28" s="63" t="s">
        <v>15</v>
      </c>
      <c r="B28" s="64" t="s">
        <v>34</v>
      </c>
      <c r="C28" s="65"/>
      <c r="D28" s="66">
        <f>IFERROR(VLOOKUP(B28,'[1]3. 계정별요약명세서(BS)'!$A$6:$D$125,4,FALSE),"")</f>
        <v>6000</v>
      </c>
      <c r="E28" s="59"/>
      <c r="F28" s="66">
        <v>6000</v>
      </c>
      <c r="G28" s="59"/>
      <c r="H28" s="61"/>
    </row>
    <row r="29" spans="1:10" s="4" customFormat="1" ht="15.95" customHeight="1" x14ac:dyDescent="0.2">
      <c r="A29" s="63" t="s">
        <v>35</v>
      </c>
      <c r="B29" s="64" t="s">
        <v>36</v>
      </c>
      <c r="C29" s="65"/>
      <c r="D29" s="66">
        <f>IFERROR(VLOOKUP(B29,'[1]3. 계정별요약명세서(BS)'!$A$6:$D$125,4,FALSE),"")</f>
        <v>1000</v>
      </c>
      <c r="E29" s="59"/>
      <c r="F29" s="66">
        <v>1000</v>
      </c>
      <c r="G29" s="59"/>
      <c r="H29" s="61"/>
      <c r="I29" s="68"/>
    </row>
    <row r="30" spans="1:10" s="4" customFormat="1" ht="9.9499999999999993" customHeight="1" x14ac:dyDescent="0.2">
      <c r="A30" s="63"/>
      <c r="B30" s="64"/>
      <c r="C30" s="65"/>
      <c r="D30" s="66" t="str">
        <f>IFERROR(VLOOKUP(B30,'[1]3. 계정별요약명세서(BS)'!$A$6:$D$125,4,FALSE),"")</f>
        <v/>
      </c>
      <c r="E30" s="59"/>
      <c r="F30" s="66" t="s">
        <v>25</v>
      </c>
      <c r="G30" s="59"/>
      <c r="H30" s="61"/>
      <c r="I30" s="81"/>
      <c r="J30" s="68"/>
    </row>
    <row r="31" spans="1:10" s="4" customFormat="1" ht="15.95" customHeight="1" x14ac:dyDescent="0.2">
      <c r="A31" s="80" t="s">
        <v>37</v>
      </c>
      <c r="B31" s="64" t="s">
        <v>38</v>
      </c>
      <c r="C31" s="65"/>
      <c r="D31" s="66" t="str">
        <f>IFERROR(VLOOKUP(B31,'[1]3. 계정별요약명세서(BS)'!$A$6:$D$125,4,FALSE),"")</f>
        <v/>
      </c>
      <c r="E31" s="59">
        <f>SUM(D32:D35)</f>
        <v>90290454981</v>
      </c>
      <c r="F31" s="67" t="s">
        <v>25</v>
      </c>
      <c r="G31" s="59">
        <v>83918314380.300003</v>
      </c>
      <c r="H31" s="61"/>
    </row>
    <row r="32" spans="1:10" s="4" customFormat="1" ht="15.95" customHeight="1" x14ac:dyDescent="0.2">
      <c r="A32" s="63" t="s">
        <v>15</v>
      </c>
      <c r="B32" s="64" t="s">
        <v>39</v>
      </c>
      <c r="C32" s="65"/>
      <c r="D32" s="66">
        <f>IFERROR(VLOOKUP(B32,'[1]3. 계정별요약명세서(BS)'!$A$6:$D$125,4,FALSE),"")</f>
        <v>490848438</v>
      </c>
      <c r="E32" s="59"/>
      <c r="F32" s="67">
        <v>480847438</v>
      </c>
      <c r="G32" s="59"/>
      <c r="H32" s="61"/>
    </row>
    <row r="33" spans="1:9" s="4" customFormat="1" ht="15.95" customHeight="1" x14ac:dyDescent="0.2">
      <c r="A33" s="63" t="s">
        <v>17</v>
      </c>
      <c r="B33" s="64" t="s">
        <v>40</v>
      </c>
      <c r="C33" s="65"/>
      <c r="D33" s="66">
        <f>IFERROR(VLOOKUP(B33,'[1]3. 계정별요약명세서(BS)'!$A$6:$D$125,4,FALSE),"")</f>
        <v>0</v>
      </c>
      <c r="E33" s="59"/>
      <c r="F33" s="67">
        <v>0</v>
      </c>
      <c r="G33" s="59"/>
      <c r="H33" s="61"/>
    </row>
    <row r="34" spans="1:9" ht="15.95" customHeight="1" x14ac:dyDescent="0.2">
      <c r="A34" s="82">
        <v>3</v>
      </c>
      <c r="B34" s="64" t="s">
        <v>41</v>
      </c>
      <c r="C34" s="83"/>
      <c r="D34" s="66">
        <f>IFERROR(VLOOKUP(B34,'[1]3. 계정별요약명세서(BS)'!$A$6:$D$125,4,FALSE),"")</f>
        <v>89799605543</v>
      </c>
      <c r="E34" s="59"/>
      <c r="F34" s="66">
        <v>83437465942.300003</v>
      </c>
      <c r="G34" s="59"/>
      <c r="H34" s="84"/>
      <c r="I34" s="18" t="s">
        <v>42</v>
      </c>
    </row>
    <row r="35" spans="1:9" s="4" customFormat="1" ht="15.95" customHeight="1" x14ac:dyDescent="0.2">
      <c r="A35" s="63">
        <v>4</v>
      </c>
      <c r="B35" s="64" t="s">
        <v>43</v>
      </c>
      <c r="C35" s="65"/>
      <c r="D35" s="66">
        <f>IFERROR(VLOOKUP(B35,'[1]3. 계정별요약명세서(BS)'!$A$6:$D$125,4,FALSE),"")</f>
        <v>1000</v>
      </c>
      <c r="E35" s="59"/>
      <c r="F35" s="67">
        <v>1000</v>
      </c>
      <c r="G35" s="59"/>
      <c r="H35" s="61"/>
    </row>
    <row r="36" spans="1:9" s="4" customFormat="1" ht="9.9499999999999993" customHeight="1" x14ac:dyDescent="0.2">
      <c r="A36" s="85"/>
      <c r="B36" s="18"/>
      <c r="C36" s="18"/>
      <c r="D36" s="66" t="str">
        <f>IFERROR(VLOOKUP(B36,'[1]3. 계정별요약명세서(BS)'!$A$6:$D$125,4,FALSE),"")</f>
        <v/>
      </c>
      <c r="E36" s="59"/>
      <c r="F36" s="67" t="s">
        <v>25</v>
      </c>
      <c r="G36" s="59"/>
      <c r="H36" s="61"/>
    </row>
    <row r="37" spans="1:9" s="4" customFormat="1" ht="15.95" customHeight="1" x14ac:dyDescent="0.2">
      <c r="A37" s="76" t="s">
        <v>44</v>
      </c>
      <c r="B37" s="77" t="s">
        <v>45</v>
      </c>
      <c r="C37" s="78"/>
      <c r="D37" s="66" t="str">
        <f>IFERROR(VLOOKUP(B37,'[1]3. 계정별요약명세서(BS)'!$A$6:$D$125,4,FALSE),"")</f>
        <v/>
      </c>
      <c r="E37" s="52">
        <f>E38+E42+E50+E55</f>
        <v>1981130066</v>
      </c>
      <c r="F37" s="67" t="s">
        <v>25</v>
      </c>
      <c r="G37" s="52">
        <v>2766265668</v>
      </c>
      <c r="H37" s="61"/>
    </row>
    <row r="38" spans="1:9" s="79" customFormat="1" ht="15.95" customHeight="1" x14ac:dyDescent="0.2">
      <c r="A38" s="80" t="s">
        <v>13</v>
      </c>
      <c r="B38" s="64" t="s">
        <v>46</v>
      </c>
      <c r="C38" s="65"/>
      <c r="D38" s="66"/>
      <c r="E38" s="59">
        <f>SUM(D39:D40)</f>
        <v>394137478</v>
      </c>
      <c r="F38" s="67"/>
      <c r="G38" s="59">
        <v>354554138</v>
      </c>
      <c r="H38" s="61"/>
    </row>
    <row r="39" spans="1:9" s="4" customFormat="1" ht="15.95" customHeight="1" x14ac:dyDescent="0.2">
      <c r="A39" s="63" t="s">
        <v>47</v>
      </c>
      <c r="B39" s="64" t="s">
        <v>48</v>
      </c>
      <c r="C39" s="65"/>
      <c r="D39" s="66">
        <f>IFERROR(VLOOKUP(B39,'[1]3. 계정별요약명세서(BS)'!$A$6:$D$125,4,FALSE),"")</f>
        <v>192500116</v>
      </c>
      <c r="E39" s="59"/>
      <c r="F39" s="67">
        <v>152916776</v>
      </c>
      <c r="G39" s="59"/>
      <c r="H39" s="61"/>
    </row>
    <row r="40" spans="1:9" s="4" customFormat="1" ht="15.95" customHeight="1" x14ac:dyDescent="0.2">
      <c r="A40" s="63" t="s">
        <v>49</v>
      </c>
      <c r="B40" s="64" t="s">
        <v>50</v>
      </c>
      <c r="C40" s="65"/>
      <c r="D40" s="66">
        <f>IFERROR(VLOOKUP(B40,'[1]3. 계정별요약명세서(BS)'!$A$6:$D$125,4,FALSE),"")</f>
        <v>201637362</v>
      </c>
      <c r="E40" s="59"/>
      <c r="F40" s="67">
        <v>201637362</v>
      </c>
      <c r="G40" s="59"/>
      <c r="H40" s="61"/>
    </row>
    <row r="41" spans="1:9" s="4" customFormat="1" ht="9.9499999999999993" customHeight="1" x14ac:dyDescent="0.2">
      <c r="A41" s="63"/>
      <c r="B41" s="64"/>
      <c r="C41" s="65"/>
      <c r="D41" s="66"/>
      <c r="E41" s="59"/>
      <c r="F41" s="67"/>
      <c r="G41" s="59"/>
      <c r="H41" s="61"/>
    </row>
    <row r="42" spans="1:9" s="4" customFormat="1" ht="15.95" customHeight="1" x14ac:dyDescent="0.2">
      <c r="A42" s="80" t="s">
        <v>37</v>
      </c>
      <c r="B42" s="64" t="s">
        <v>51</v>
      </c>
      <c r="C42" s="65"/>
      <c r="D42" s="66"/>
      <c r="E42" s="59">
        <f>SUM(D43:D48)</f>
        <v>393378656</v>
      </c>
      <c r="F42" s="67"/>
      <c r="G42" s="59">
        <v>442822996</v>
      </c>
      <c r="H42" s="61"/>
    </row>
    <row r="43" spans="1:9" s="4" customFormat="1" ht="15.95" customHeight="1" x14ac:dyDescent="0.2">
      <c r="A43" s="63" t="s">
        <v>15</v>
      </c>
      <c r="B43" s="64" t="s">
        <v>52</v>
      </c>
      <c r="C43" s="65"/>
      <c r="D43" s="66"/>
      <c r="E43" s="59"/>
      <c r="F43" s="67"/>
      <c r="G43" s="59"/>
      <c r="H43" s="61"/>
    </row>
    <row r="44" spans="1:9" s="4" customFormat="1" ht="15.95" customHeight="1" x14ac:dyDescent="0.2">
      <c r="A44" s="63"/>
      <c r="B44" s="64" t="s">
        <v>53</v>
      </c>
      <c r="C44" s="65"/>
      <c r="D44" s="66"/>
      <c r="E44" s="59"/>
      <c r="F44" s="67"/>
      <c r="G44" s="59"/>
      <c r="H44" s="61"/>
    </row>
    <row r="45" spans="1:9" s="4" customFormat="1" ht="15.95" customHeight="1" x14ac:dyDescent="0.2">
      <c r="A45" s="63" t="s">
        <v>54</v>
      </c>
      <c r="B45" s="64" t="s">
        <v>55</v>
      </c>
      <c r="C45" s="65"/>
      <c r="D45" s="66">
        <f>'[1]3. 계정별요약명세서(BS)'!D95</f>
        <v>897035625</v>
      </c>
      <c r="E45" s="59"/>
      <c r="F45" s="67">
        <v>900325625</v>
      </c>
      <c r="G45" s="59"/>
      <c r="H45" s="61"/>
    </row>
    <row r="46" spans="1:9" s="4" customFormat="1" ht="15.95" customHeight="1" x14ac:dyDescent="0.2">
      <c r="A46" s="63"/>
      <c r="B46" s="64" t="s">
        <v>56</v>
      </c>
      <c r="C46" s="65"/>
      <c r="D46" s="66">
        <f>-'[1]3. 계정별요약명세서(BS)'!D96</f>
        <v>-810688965</v>
      </c>
      <c r="E46" s="59"/>
      <c r="F46" s="67">
        <v>-801226065</v>
      </c>
      <c r="G46" s="59"/>
      <c r="H46" s="61"/>
    </row>
    <row r="47" spans="1:9" s="4" customFormat="1" ht="15.95" customHeight="1" x14ac:dyDescent="0.2">
      <c r="A47" s="63" t="s">
        <v>57</v>
      </c>
      <c r="B47" s="64" t="s">
        <v>58</v>
      </c>
      <c r="C47" s="65"/>
      <c r="D47" s="66">
        <f>'[1]3. 계정별요약명세서(BS)'!C97</f>
        <v>538541136</v>
      </c>
      <c r="E47" s="59"/>
      <c r="F47" s="67">
        <v>538541136</v>
      </c>
      <c r="G47" s="59"/>
      <c r="H47" s="61"/>
    </row>
    <row r="48" spans="1:9" s="4" customFormat="1" ht="15.95" customHeight="1" x14ac:dyDescent="0.2">
      <c r="A48" s="63"/>
      <c r="B48" s="64" t="s">
        <v>59</v>
      </c>
      <c r="C48" s="65"/>
      <c r="D48" s="66">
        <f>-'[1]3. 계정별요약명세서(BS)'!C98</f>
        <v>-231509140</v>
      </c>
      <c r="E48" s="59"/>
      <c r="F48" s="67">
        <v>-194817700</v>
      </c>
      <c r="G48" s="59"/>
      <c r="H48" s="61"/>
    </row>
    <row r="49" spans="1:10" s="4" customFormat="1" ht="9.9499999999999993" customHeight="1" x14ac:dyDescent="0.2">
      <c r="A49" s="63"/>
      <c r="B49" s="64"/>
      <c r="C49" s="65"/>
      <c r="D49" s="66" t="str">
        <f>IFERROR(VLOOKUP(B49,'[1]3. 계정별요약명세서(BS)'!$A$6:$D$125,4,FALSE),"")</f>
        <v/>
      </c>
      <c r="E49" s="59"/>
      <c r="F49" s="67" t="s">
        <v>25</v>
      </c>
      <c r="G49" s="59"/>
      <c r="H49" s="61"/>
    </row>
    <row r="50" spans="1:10" s="4" customFormat="1" ht="15.95" customHeight="1" x14ac:dyDescent="0.2">
      <c r="A50" s="80" t="s">
        <v>60</v>
      </c>
      <c r="B50" s="64" t="s">
        <v>61</v>
      </c>
      <c r="C50" s="65"/>
      <c r="D50" s="66"/>
      <c r="E50" s="59">
        <f>SUM(D51:D53)</f>
        <v>301072933</v>
      </c>
      <c r="F50" s="67"/>
      <c r="G50" s="59">
        <v>309710133</v>
      </c>
      <c r="H50" s="61"/>
    </row>
    <row r="51" spans="1:10" s="4" customFormat="1" ht="15.95" customHeight="1" x14ac:dyDescent="0.2">
      <c r="A51" s="63"/>
      <c r="B51" s="64" t="s">
        <v>62</v>
      </c>
      <c r="C51" s="65"/>
      <c r="D51" s="66">
        <f>'[1]3. 계정별요약명세서(BS)'!C101+'[1]3. 계정별요약명세서(BS)'!C102</f>
        <v>211640000</v>
      </c>
      <c r="E51" s="59"/>
      <c r="F51" s="67">
        <v>219560000</v>
      </c>
      <c r="G51" s="59"/>
      <c r="H51" s="61"/>
    </row>
    <row r="52" spans="1:10" s="4" customFormat="1" ht="15.95" customHeight="1" x14ac:dyDescent="0.2">
      <c r="A52" s="63"/>
      <c r="B52" s="64" t="s">
        <v>63</v>
      </c>
      <c r="C52" s="65"/>
      <c r="D52" s="66">
        <f>'[1]3. 계정별요약명세서(BS)'!C100</f>
        <v>6932933</v>
      </c>
      <c r="E52" s="59"/>
      <c r="F52" s="67">
        <v>7650133</v>
      </c>
      <c r="G52" s="59"/>
      <c r="H52" s="61"/>
    </row>
    <row r="53" spans="1:10" s="4" customFormat="1" ht="15.95" customHeight="1" x14ac:dyDescent="0.2">
      <c r="A53" s="63"/>
      <c r="B53" s="64" t="s">
        <v>64</v>
      </c>
      <c r="C53" s="65"/>
      <c r="D53" s="66">
        <f>'[1]3. 계정별요약명세서(BS)'!C103</f>
        <v>82500000</v>
      </c>
      <c r="E53" s="59"/>
      <c r="F53" s="67">
        <v>82500000</v>
      </c>
      <c r="G53" s="59"/>
      <c r="H53" s="61"/>
    </row>
    <row r="54" spans="1:10" s="4" customFormat="1" ht="9.9499999999999993" customHeight="1" x14ac:dyDescent="0.2">
      <c r="A54" s="63"/>
      <c r="B54" s="64"/>
      <c r="C54" s="65"/>
      <c r="D54" s="66" t="str">
        <f>IFERROR(VLOOKUP(B54,'[1]3. 계정별요약명세서(BS)'!$A$6:$D$125,4,FALSE),"")</f>
        <v/>
      </c>
      <c r="E54" s="59"/>
      <c r="F54" s="67" t="s">
        <v>25</v>
      </c>
      <c r="G54" s="59"/>
      <c r="H54" s="61"/>
    </row>
    <row r="55" spans="1:10" s="4" customFormat="1" ht="15.95" customHeight="1" x14ac:dyDescent="0.2">
      <c r="A55" s="80" t="s">
        <v>65</v>
      </c>
      <c r="B55" s="64" t="s">
        <v>66</v>
      </c>
      <c r="C55" s="65"/>
      <c r="D55" s="66" t="str">
        <f>IFERROR(VLOOKUP(B55,'[1]3. 계정별요약명세서(BS)'!$A$6:$D$125,4,FALSE),"")</f>
        <v/>
      </c>
      <c r="E55" s="59">
        <f>SUM(D56:D58)</f>
        <v>892540999</v>
      </c>
      <c r="F55" s="67" t="s">
        <v>25</v>
      </c>
      <c r="G55" s="59">
        <v>1659178401</v>
      </c>
      <c r="H55" s="61"/>
    </row>
    <row r="56" spans="1:10" s="4" customFormat="1" ht="15.95" customHeight="1" x14ac:dyDescent="0.2">
      <c r="A56" s="63">
        <v>1</v>
      </c>
      <c r="B56" s="64" t="s">
        <v>67</v>
      </c>
      <c r="C56" s="65"/>
      <c r="D56" s="66">
        <f>IFERROR(VLOOKUP(B56,'[1]3. 계정별요약명세서(BS)'!$A$6:$D$125,4,FALSE),"")</f>
        <v>618041000</v>
      </c>
      <c r="E56" s="59"/>
      <c r="F56" s="67">
        <v>618041000</v>
      </c>
      <c r="G56" s="59"/>
      <c r="H56" s="61"/>
    </row>
    <row r="57" spans="1:10" s="4" customFormat="1" ht="15.95" customHeight="1" x14ac:dyDescent="0.2">
      <c r="A57" s="63" t="s">
        <v>49</v>
      </c>
      <c r="B57" s="64" t="s">
        <v>68</v>
      </c>
      <c r="C57" s="65"/>
      <c r="D57" s="66">
        <f>IFERROR(VLOOKUP(B57,'[1]3. 계정별요약명세서(BS)'!$A$6:$D$125,4,FALSE),"")</f>
        <v>274499999</v>
      </c>
      <c r="E57" s="59"/>
      <c r="F57" s="67">
        <v>274499999</v>
      </c>
      <c r="G57" s="59"/>
      <c r="H57" s="54"/>
    </row>
    <row r="58" spans="1:10" s="4" customFormat="1" ht="15.95" customHeight="1" x14ac:dyDescent="0.2">
      <c r="A58" s="63" t="s">
        <v>69</v>
      </c>
      <c r="B58" s="64" t="s">
        <v>70</v>
      </c>
      <c r="C58" s="65"/>
      <c r="D58" s="66">
        <f>IFERROR(VLOOKUP(B58,'[1]3. 계정별요약명세서(BS)'!$A$6:$D$125,4,FALSE),"")+E120</f>
        <v>0</v>
      </c>
      <c r="E58" s="59"/>
      <c r="F58" s="67">
        <v>766637402</v>
      </c>
      <c r="G58" s="59"/>
      <c r="H58" s="84"/>
    </row>
    <row r="59" spans="1:10" s="4" customFormat="1" ht="9.9499999999999993" customHeight="1" x14ac:dyDescent="0.2">
      <c r="A59" s="63"/>
      <c r="B59" s="64"/>
      <c r="C59" s="65"/>
      <c r="D59" s="66" t="str">
        <f>IFERROR(VLOOKUP(B59,'[1]3. 계정별요약명세서(BS)'!$A$6:$D$125,4,FALSE),"")</f>
        <v/>
      </c>
      <c r="E59" s="59"/>
      <c r="F59" s="67" t="s">
        <v>25</v>
      </c>
      <c r="G59" s="59"/>
      <c r="H59" s="61"/>
      <c r="J59" s="68"/>
    </row>
    <row r="60" spans="1:10" s="79" customFormat="1" ht="17.25" customHeight="1" thickBot="1" x14ac:dyDescent="0.25">
      <c r="A60" s="86" t="s">
        <v>71</v>
      </c>
      <c r="B60" s="87"/>
      <c r="C60" s="87"/>
      <c r="D60" s="66" t="str">
        <f>IFERROR(VLOOKUP(B60,'[1]3. 계정별요약명세서(BS)'!$A$6:$D$125,4,FALSE),"")</f>
        <v/>
      </c>
      <c r="E60" s="88">
        <f>ROUND(E12+E26+E37,0)</f>
        <v>105708784227</v>
      </c>
      <c r="F60" s="67" t="s">
        <v>25</v>
      </c>
      <c r="G60" s="88">
        <v>101204102135</v>
      </c>
      <c r="H60" s="61"/>
      <c r="I60" s="89"/>
      <c r="J60" s="68"/>
    </row>
    <row r="61" spans="1:10" s="79" customFormat="1" ht="10.5" customHeight="1" thickTop="1" x14ac:dyDescent="0.2">
      <c r="A61" s="86"/>
      <c r="B61" s="87"/>
      <c r="C61" s="87"/>
      <c r="D61" s="66" t="str">
        <f>IFERROR(VLOOKUP(B61,'[1]3. 계정별요약명세서(BS)'!$A$6:$D$125,4,FALSE),"")</f>
        <v/>
      </c>
      <c r="E61" s="52"/>
      <c r="F61" s="67" t="s">
        <v>25</v>
      </c>
      <c r="G61" s="52"/>
      <c r="H61" s="54"/>
      <c r="I61" s="81"/>
      <c r="J61" s="90"/>
    </row>
    <row r="62" spans="1:10" s="4" customFormat="1" ht="17.25" customHeight="1" x14ac:dyDescent="0.2">
      <c r="A62" s="86" t="s">
        <v>72</v>
      </c>
      <c r="B62" s="91"/>
      <c r="C62" s="91"/>
      <c r="D62" s="66" t="str">
        <f>IFERROR(VLOOKUP(B62,'[1]3. 계정별요약명세서(BS)'!$A$6:$D$125,4,FALSE),"")</f>
        <v/>
      </c>
      <c r="E62" s="59"/>
      <c r="F62" s="67" t="s">
        <v>25</v>
      </c>
      <c r="G62" s="59"/>
      <c r="H62" s="54"/>
      <c r="J62" s="92"/>
    </row>
    <row r="63" spans="1:10" s="4" customFormat="1" ht="10.5" customHeight="1" x14ac:dyDescent="0.2">
      <c r="A63" s="93"/>
      <c r="B63" s="91"/>
      <c r="C63" s="91"/>
      <c r="D63" s="66" t="str">
        <f>IFERROR(VLOOKUP(B63,'[1]3. 계정별요약명세서(BS)'!$A$6:$D$125,4,FALSE),"")</f>
        <v/>
      </c>
      <c r="E63" s="59"/>
      <c r="F63" s="67" t="s">
        <v>25</v>
      </c>
      <c r="G63" s="59"/>
      <c r="H63" s="61"/>
      <c r="J63" s="68"/>
    </row>
    <row r="64" spans="1:10" s="4" customFormat="1" ht="15.95" customHeight="1" x14ac:dyDescent="0.2">
      <c r="A64" s="94" t="s">
        <v>11</v>
      </c>
      <c r="B64" s="77" t="s">
        <v>73</v>
      </c>
      <c r="C64" s="65"/>
      <c r="D64" s="66" t="str">
        <f>IFERROR(VLOOKUP(B64,'[1]3. 계정별요약명세서(BS)'!$A$6:$D$125,4,FALSE),"")</f>
        <v/>
      </c>
      <c r="E64" s="52">
        <f>SUM(D65:D73)</f>
        <v>8470263542</v>
      </c>
      <c r="F64" s="67" t="s">
        <v>25</v>
      </c>
      <c r="G64" s="52">
        <v>8754033305</v>
      </c>
      <c r="H64" s="61"/>
    </row>
    <row r="65" spans="1:17" s="4" customFormat="1" ht="15.95" customHeight="1" x14ac:dyDescent="0.2">
      <c r="A65" s="95" t="s">
        <v>15</v>
      </c>
      <c r="B65" s="64" t="s">
        <v>74</v>
      </c>
      <c r="C65" s="65"/>
      <c r="D65" s="66">
        <f>IFERROR(VLOOKUP(B65,'[1]3. 계정별요약명세서(BS)'!$A$6:$D$125,4,FALSE),"")</f>
        <v>2500000000</v>
      </c>
      <c r="E65" s="52"/>
      <c r="F65" s="67">
        <v>2500000000</v>
      </c>
      <c r="G65" s="52"/>
      <c r="H65" s="61"/>
    </row>
    <row r="66" spans="1:17" s="4" customFormat="1" ht="15.95" customHeight="1" x14ac:dyDescent="0.2">
      <c r="A66" s="95" t="s">
        <v>54</v>
      </c>
      <c r="B66" s="64" t="s">
        <v>75</v>
      </c>
      <c r="C66" s="65"/>
      <c r="D66" s="66">
        <f>IFERROR(VLOOKUP(B66,'[1]3. 계정별요약명세서(BS)'!$A$6:$D$125,4,FALSE),"")</f>
        <v>273742627</v>
      </c>
      <c r="E66" s="59"/>
      <c r="F66" s="66">
        <v>505026891</v>
      </c>
      <c r="G66" s="59"/>
      <c r="H66" s="61"/>
      <c r="J66" s="68"/>
    </row>
    <row r="67" spans="1:17" s="4" customFormat="1" ht="15.95" customHeight="1" x14ac:dyDescent="0.2">
      <c r="A67" s="95" t="s">
        <v>76</v>
      </c>
      <c r="B67" s="64" t="s">
        <v>77</v>
      </c>
      <c r="C67" s="65"/>
      <c r="D67" s="66">
        <f>IFERROR(VLOOKUP(B67,'[1]3. 계정별요약명세서(BS)'!$A$6:$D$125,4,FALSE),"")</f>
        <v>0</v>
      </c>
      <c r="E67" s="59"/>
      <c r="F67" s="66">
        <v>0</v>
      </c>
      <c r="G67" s="59"/>
      <c r="H67" s="61"/>
      <c r="J67" s="68"/>
    </row>
    <row r="68" spans="1:17" s="4" customFormat="1" ht="15.95" customHeight="1" x14ac:dyDescent="0.2">
      <c r="A68" s="95" t="s">
        <v>78</v>
      </c>
      <c r="B68" s="64" t="s">
        <v>79</v>
      </c>
      <c r="C68" s="65"/>
      <c r="D68" s="66" t="str">
        <f>IFERROR(VLOOKUP(B68,'[1]3. 계정별요약명세서(BS)'!$A$6:$D$125,4,FALSE),"")</f>
        <v/>
      </c>
      <c r="E68" s="59"/>
      <c r="F68" s="67" t="s">
        <v>25</v>
      </c>
      <c r="G68" s="59"/>
      <c r="H68" s="61"/>
    </row>
    <row r="69" spans="1:17" s="4" customFormat="1" ht="15.95" customHeight="1" x14ac:dyDescent="0.2">
      <c r="A69" s="95" t="s">
        <v>80</v>
      </c>
      <c r="B69" s="64" t="s">
        <v>81</v>
      </c>
      <c r="C69" s="65"/>
      <c r="D69" s="66">
        <f>IFERROR(VLOOKUP(B69,'[1]3. 계정별요약명세서(BS)'!$A$6:$D$125,4,FALSE),"")</f>
        <v>186986330</v>
      </c>
      <c r="E69" s="59"/>
      <c r="F69" s="67">
        <v>103552020</v>
      </c>
      <c r="G69" s="59"/>
      <c r="H69" s="61"/>
      <c r="I69" s="68"/>
    </row>
    <row r="70" spans="1:17" s="4" customFormat="1" ht="15.95" customHeight="1" x14ac:dyDescent="0.2">
      <c r="A70" s="96" t="s">
        <v>82</v>
      </c>
      <c r="B70" s="64" t="s">
        <v>83</v>
      </c>
      <c r="C70" s="65"/>
      <c r="D70" s="66">
        <f>IFERROR(VLOOKUP(B70,'[1]3. 계정별요약명세서(BS)'!$A$6:$D$125,4,FALSE),"")</f>
        <v>5364008</v>
      </c>
      <c r="E70" s="59"/>
      <c r="F70" s="67">
        <v>9832358</v>
      </c>
      <c r="G70" s="59"/>
      <c r="H70" s="61"/>
      <c r="I70" s="68"/>
    </row>
    <row r="71" spans="1:17" ht="15.95" customHeight="1" x14ac:dyDescent="0.2">
      <c r="A71" s="96" t="s">
        <v>84</v>
      </c>
      <c r="B71" s="64" t="s">
        <v>85</v>
      </c>
      <c r="C71" s="65"/>
      <c r="D71" s="66">
        <f>IFERROR(VLOOKUP(B71,'[1]3. 계정별요약명세서(BS)'!$A$6:$D$130,4,FALSE),"")</f>
        <v>4356135659</v>
      </c>
      <c r="E71" s="59"/>
      <c r="F71" s="66">
        <v>4652154905</v>
      </c>
      <c r="G71" s="59"/>
      <c r="H71" s="61"/>
    </row>
    <row r="72" spans="1:17" ht="15.95" customHeight="1" x14ac:dyDescent="0.2">
      <c r="A72" s="96" t="s">
        <v>86</v>
      </c>
      <c r="B72" s="64" t="s">
        <v>87</v>
      </c>
      <c r="C72" s="65"/>
      <c r="D72" s="66">
        <f>'[1]3. 계정별요약명세서(BS)'!D65+G120</f>
        <v>1148034918</v>
      </c>
      <c r="E72" s="59"/>
      <c r="F72" s="66">
        <v>983467131</v>
      </c>
      <c r="G72" s="59"/>
      <c r="H72" s="84"/>
    </row>
    <row r="73" spans="1:17" ht="15.95" customHeight="1" x14ac:dyDescent="0.2">
      <c r="A73" s="96" t="s">
        <v>88</v>
      </c>
      <c r="B73" s="64" t="s">
        <v>89</v>
      </c>
      <c r="C73" s="65"/>
      <c r="D73" s="66">
        <f>0+G119</f>
        <v>0</v>
      </c>
      <c r="E73" s="59"/>
      <c r="F73" s="66">
        <v>0</v>
      </c>
      <c r="G73" s="59"/>
      <c r="H73" s="61"/>
    </row>
    <row r="74" spans="1:17" ht="10.5" customHeight="1" x14ac:dyDescent="0.2">
      <c r="A74" s="96"/>
      <c r="B74" s="64"/>
      <c r="C74" s="65"/>
      <c r="D74" s="66"/>
      <c r="E74" s="59"/>
      <c r="F74" s="66"/>
      <c r="G74" s="59"/>
      <c r="H74" s="61"/>
    </row>
    <row r="75" spans="1:17" ht="15.95" customHeight="1" x14ac:dyDescent="0.2">
      <c r="A75" s="97" t="s">
        <v>90</v>
      </c>
      <c r="B75" s="77" t="s">
        <v>91</v>
      </c>
      <c r="C75" s="65"/>
      <c r="D75" s="66"/>
      <c r="E75" s="52">
        <f>SUM(D76:D81)</f>
        <v>1245947468</v>
      </c>
      <c r="F75" s="66"/>
      <c r="G75" s="52">
        <v>350863548</v>
      </c>
      <c r="H75" s="61"/>
    </row>
    <row r="76" spans="1:17" ht="15.95" customHeight="1" x14ac:dyDescent="0.2">
      <c r="A76" s="96" t="s">
        <v>15</v>
      </c>
      <c r="B76" s="64" t="s">
        <v>92</v>
      </c>
      <c r="C76" s="65"/>
      <c r="D76" s="66">
        <v>1383969638</v>
      </c>
      <c r="E76" s="59"/>
      <c r="F76" s="66">
        <v>1437926000</v>
      </c>
      <c r="G76" s="59"/>
      <c r="H76" s="61" t="s">
        <v>93</v>
      </c>
    </row>
    <row r="77" spans="1:17" ht="15.95" customHeight="1" x14ac:dyDescent="0.2">
      <c r="A77" s="96" t="s">
        <v>54</v>
      </c>
      <c r="B77" s="64" t="s">
        <v>94</v>
      </c>
      <c r="C77" s="65"/>
      <c r="D77" s="66">
        <v>-1373278500</v>
      </c>
      <c r="E77" s="59"/>
      <c r="F77" s="66">
        <v>-1437926000</v>
      </c>
      <c r="G77" s="59"/>
      <c r="H77" s="61" t="s">
        <v>93</v>
      </c>
      <c r="I77" s="98"/>
      <c r="J77" s="98"/>
      <c r="K77" s="98"/>
      <c r="L77" s="98"/>
      <c r="M77" s="98"/>
      <c r="N77" s="98"/>
      <c r="O77" s="98"/>
      <c r="P77" s="98"/>
      <c r="Q77" s="98"/>
    </row>
    <row r="78" spans="1:17" ht="15.95" customHeight="1" x14ac:dyDescent="0.2">
      <c r="A78" s="96" t="s">
        <v>57</v>
      </c>
      <c r="B78" s="64" t="s">
        <v>95</v>
      </c>
      <c r="C78" s="65"/>
      <c r="D78" s="66">
        <v>89175000</v>
      </c>
      <c r="E78" s="59"/>
      <c r="F78" s="66">
        <v>89175000</v>
      </c>
      <c r="G78" s="59"/>
      <c r="H78" s="61" t="s">
        <v>93</v>
      </c>
      <c r="I78" s="98"/>
      <c r="J78" s="98"/>
      <c r="K78" s="98"/>
      <c r="L78" s="98"/>
      <c r="M78" s="98"/>
      <c r="N78" s="98"/>
      <c r="O78" s="98"/>
      <c r="P78" s="98"/>
      <c r="Q78" s="98"/>
    </row>
    <row r="79" spans="1:17" ht="15.95" customHeight="1" x14ac:dyDescent="0.2">
      <c r="A79" s="95" t="s">
        <v>96</v>
      </c>
      <c r="B79" s="70" t="s">
        <v>97</v>
      </c>
      <c r="C79" s="71"/>
      <c r="D79" s="66">
        <v>134792874</v>
      </c>
      <c r="E79" s="99"/>
      <c r="F79" s="66">
        <v>133438548</v>
      </c>
      <c r="G79" s="59"/>
      <c r="H79" s="61" t="s">
        <v>93</v>
      </c>
      <c r="I79" s="98"/>
      <c r="J79" s="98"/>
      <c r="K79" s="98"/>
      <c r="L79" s="98"/>
      <c r="M79" s="98"/>
      <c r="N79" s="98"/>
      <c r="O79" s="98"/>
      <c r="P79" s="98"/>
      <c r="Q79" s="98"/>
    </row>
    <row r="80" spans="1:17" ht="15.95" customHeight="1" x14ac:dyDescent="0.2">
      <c r="A80" s="95" t="s">
        <v>80</v>
      </c>
      <c r="B80" s="70" t="s">
        <v>98</v>
      </c>
      <c r="C80" s="71"/>
      <c r="D80" s="66">
        <f>IFERROR(VLOOKUP(B80,'[1]3. 계정별요약명세서(BS)'!$A$6:$D$128,4,FALSE),"")</f>
        <v>162670000</v>
      </c>
      <c r="E80" s="99"/>
      <c r="F80" s="66">
        <v>128250000</v>
      </c>
      <c r="G80" s="59"/>
      <c r="H80" s="61"/>
      <c r="I80" s="100"/>
      <c r="J80" s="98"/>
      <c r="K80" s="98"/>
      <c r="L80" s="98"/>
      <c r="M80" s="98"/>
      <c r="N80" s="98"/>
      <c r="O80" s="98"/>
      <c r="P80" s="98"/>
      <c r="Q80" s="98"/>
    </row>
    <row r="81" spans="1:17" ht="15.95" customHeight="1" x14ac:dyDescent="0.2">
      <c r="A81" s="95" t="s">
        <v>80</v>
      </c>
      <c r="B81" s="70" t="s">
        <v>99</v>
      </c>
      <c r="C81" s="71"/>
      <c r="D81" s="67">
        <f>IFERROR(VLOOKUP(B81,'[1]3. 계정별요약명세서(BS)'!$A$6:$D$128,4,FALSE),"")+G118</f>
        <v>848618456</v>
      </c>
      <c r="E81" s="99"/>
      <c r="F81" s="66">
        <v>0</v>
      </c>
      <c r="G81" s="59"/>
      <c r="H81" s="84"/>
      <c r="I81" s="100"/>
      <c r="J81" s="98"/>
      <c r="K81" s="98"/>
      <c r="L81" s="98"/>
      <c r="M81" s="98"/>
      <c r="N81" s="98"/>
      <c r="O81" s="98"/>
      <c r="P81" s="98"/>
      <c r="Q81" s="98"/>
    </row>
    <row r="82" spans="1:17" ht="10.5" customHeight="1" x14ac:dyDescent="0.2">
      <c r="A82" s="101"/>
      <c r="B82" s="102"/>
      <c r="C82" s="65"/>
      <c r="D82" s="66"/>
      <c r="E82" s="59"/>
      <c r="F82" s="66"/>
      <c r="G82" s="59"/>
      <c r="H82" s="61"/>
      <c r="I82" s="100"/>
      <c r="J82" s="98"/>
      <c r="K82" s="98"/>
      <c r="L82" s="98"/>
      <c r="M82" s="98"/>
      <c r="N82" s="98"/>
      <c r="O82" s="98"/>
      <c r="P82" s="98"/>
      <c r="Q82" s="98"/>
    </row>
    <row r="83" spans="1:17" s="55" customFormat="1" ht="17.25" customHeight="1" thickBot="1" x14ac:dyDescent="0.25">
      <c r="A83" s="103" t="s">
        <v>100</v>
      </c>
      <c r="B83" s="87"/>
      <c r="C83" s="87"/>
      <c r="D83" s="66"/>
      <c r="E83" s="88">
        <f>E64+E75</f>
        <v>9716211010</v>
      </c>
      <c r="F83" s="66"/>
      <c r="G83" s="88">
        <v>9104896853</v>
      </c>
      <c r="H83" s="61"/>
      <c r="I83" s="100"/>
      <c r="J83" s="98"/>
      <c r="K83" s="98"/>
      <c r="L83" s="98"/>
      <c r="M83" s="98"/>
      <c r="N83" s="98"/>
      <c r="O83" s="98"/>
      <c r="P83" s="98"/>
      <c r="Q83" s="98"/>
    </row>
    <row r="84" spans="1:17" ht="10.5" customHeight="1" thickTop="1" x14ac:dyDescent="0.2">
      <c r="A84" s="104"/>
      <c r="B84" s="91"/>
      <c r="C84" s="91"/>
      <c r="D84" s="66"/>
      <c r="E84" s="59"/>
      <c r="F84" s="66"/>
      <c r="G84" s="59"/>
      <c r="H84" s="54"/>
      <c r="I84" s="100"/>
      <c r="J84" s="98"/>
      <c r="K84" s="98"/>
      <c r="L84" s="98"/>
      <c r="M84" s="98"/>
      <c r="N84" s="98"/>
      <c r="O84" s="98"/>
      <c r="P84" s="98"/>
      <c r="Q84" s="98"/>
    </row>
    <row r="85" spans="1:17" ht="17.25" customHeight="1" x14ac:dyDescent="0.2">
      <c r="A85" s="103" t="s">
        <v>101</v>
      </c>
      <c r="B85" s="87"/>
      <c r="C85" s="91"/>
      <c r="D85" s="66"/>
      <c r="E85" s="59"/>
      <c r="F85" s="66"/>
      <c r="G85" s="59"/>
      <c r="H85" s="61"/>
      <c r="I85" s="98"/>
      <c r="J85" s="98"/>
      <c r="K85" s="98"/>
      <c r="L85" s="98"/>
      <c r="M85" s="98"/>
      <c r="N85" s="98"/>
      <c r="O85" s="98"/>
      <c r="P85" s="98"/>
      <c r="Q85" s="98"/>
    </row>
    <row r="86" spans="1:17" ht="10.5" customHeight="1" x14ac:dyDescent="0.2">
      <c r="A86" s="104"/>
      <c r="B86" s="91"/>
      <c r="C86" s="91"/>
      <c r="D86" s="66"/>
      <c r="E86" s="59"/>
      <c r="F86" s="66"/>
      <c r="G86" s="59"/>
      <c r="H86" s="61"/>
      <c r="I86" s="98"/>
      <c r="J86" s="98"/>
      <c r="K86" s="98"/>
      <c r="L86" s="98"/>
      <c r="M86" s="98"/>
      <c r="N86" s="98"/>
      <c r="O86" s="98"/>
      <c r="P86" s="98"/>
      <c r="Q86" s="98"/>
    </row>
    <row r="87" spans="1:17" s="55" customFormat="1" ht="15.95" customHeight="1" x14ac:dyDescent="0.2">
      <c r="A87" s="97" t="s">
        <v>11</v>
      </c>
      <c r="B87" s="77" t="s">
        <v>102</v>
      </c>
      <c r="C87" s="78"/>
      <c r="D87" s="58"/>
      <c r="E87" s="52">
        <f>D88</f>
        <v>59632405000</v>
      </c>
      <c r="F87" s="58"/>
      <c r="G87" s="52">
        <v>59632405000</v>
      </c>
      <c r="H87" s="54"/>
      <c r="I87" s="98"/>
      <c r="J87" s="100"/>
      <c r="K87" s="98"/>
      <c r="L87" s="98"/>
      <c r="M87" s="98"/>
      <c r="N87" s="98"/>
      <c r="O87" s="98"/>
      <c r="P87" s="98"/>
      <c r="Q87" s="98"/>
    </row>
    <row r="88" spans="1:17" ht="15.95" customHeight="1" x14ac:dyDescent="0.2">
      <c r="A88" s="96" t="s">
        <v>15</v>
      </c>
      <c r="B88" s="64" t="s">
        <v>103</v>
      </c>
      <c r="C88" s="65"/>
      <c r="D88" s="105">
        <v>59632405000</v>
      </c>
      <c r="E88" s="59"/>
      <c r="F88" s="105">
        <v>59632405000</v>
      </c>
      <c r="G88" s="59"/>
      <c r="H88" s="106"/>
      <c r="I88" s="98"/>
      <c r="J88" s="100"/>
      <c r="K88" s="98"/>
      <c r="L88" s="98"/>
      <c r="M88" s="98"/>
      <c r="N88" s="98"/>
      <c r="O88" s="98"/>
      <c r="P88" s="98"/>
      <c r="Q88" s="98"/>
    </row>
    <row r="89" spans="1:17" ht="10.5" customHeight="1" x14ac:dyDescent="0.2">
      <c r="A89" s="101"/>
      <c r="B89" s="102"/>
      <c r="C89" s="65"/>
      <c r="D89" s="58"/>
      <c r="E89" s="59"/>
      <c r="F89" s="58"/>
      <c r="G89" s="59"/>
      <c r="H89" s="106"/>
      <c r="I89" s="98"/>
      <c r="J89" s="98"/>
      <c r="K89" s="98"/>
      <c r="L89" s="98"/>
      <c r="M89" s="98"/>
      <c r="N89" s="98"/>
      <c r="O89" s="98"/>
      <c r="P89" s="98"/>
      <c r="Q89" s="98"/>
    </row>
    <row r="90" spans="1:17" s="55" customFormat="1" ht="15.95" customHeight="1" x14ac:dyDescent="0.2">
      <c r="A90" s="107" t="s">
        <v>31</v>
      </c>
      <c r="B90" s="77" t="s">
        <v>104</v>
      </c>
      <c r="C90" s="78"/>
      <c r="D90" s="58"/>
      <c r="E90" s="52">
        <f>SUM(D91:D93)</f>
        <v>-739996989</v>
      </c>
      <c r="F90" s="58"/>
      <c r="G90" s="52">
        <v>-739996989</v>
      </c>
      <c r="H90" s="106"/>
      <c r="I90" s="98"/>
      <c r="J90" s="98"/>
      <c r="K90" s="98"/>
      <c r="L90" s="98"/>
      <c r="M90" s="98"/>
      <c r="N90" s="98"/>
      <c r="O90" s="98"/>
      <c r="P90" s="98"/>
      <c r="Q90" s="98"/>
    </row>
    <row r="91" spans="1:17" ht="15.95" customHeight="1" x14ac:dyDescent="0.2">
      <c r="A91" s="82" t="s">
        <v>15</v>
      </c>
      <c r="B91" s="64" t="s">
        <v>105</v>
      </c>
      <c r="C91" s="65"/>
      <c r="D91" s="58">
        <v>-356916859</v>
      </c>
      <c r="E91" s="108"/>
      <c r="F91" s="58">
        <v>-356916859</v>
      </c>
      <c r="G91" s="108"/>
      <c r="H91" s="61" t="s">
        <v>93</v>
      </c>
      <c r="I91" s="98"/>
      <c r="J91" s="98"/>
      <c r="K91" s="98"/>
      <c r="L91" s="98"/>
      <c r="M91" s="98"/>
      <c r="N91" s="98"/>
      <c r="O91" s="98"/>
      <c r="P91" s="98"/>
      <c r="Q91" s="98"/>
    </row>
    <row r="92" spans="1:17" ht="15.95" customHeight="1" x14ac:dyDescent="0.2">
      <c r="A92" s="82" t="s">
        <v>35</v>
      </c>
      <c r="B92" s="64" t="s">
        <v>106</v>
      </c>
      <c r="C92" s="65"/>
      <c r="D92" s="58"/>
      <c r="E92" s="108"/>
      <c r="F92" s="58"/>
      <c r="G92" s="108"/>
      <c r="H92" s="54"/>
      <c r="I92" s="98"/>
      <c r="J92" s="98"/>
      <c r="K92" s="98"/>
      <c r="L92" s="98"/>
      <c r="M92" s="98"/>
      <c r="N92" s="98"/>
      <c r="O92" s="98"/>
      <c r="P92" s="98"/>
      <c r="Q92" s="98"/>
    </row>
    <row r="93" spans="1:17" ht="15.95" customHeight="1" x14ac:dyDescent="0.2">
      <c r="A93" s="82" t="s">
        <v>76</v>
      </c>
      <c r="B93" s="64" t="s">
        <v>107</v>
      </c>
      <c r="C93" s="65"/>
      <c r="D93" s="58">
        <v>-383080130</v>
      </c>
      <c r="E93" s="108"/>
      <c r="F93" s="58">
        <v>-383080130</v>
      </c>
      <c r="G93" s="108"/>
      <c r="H93" s="61" t="s">
        <v>93</v>
      </c>
      <c r="I93" s="98"/>
      <c r="J93" s="98"/>
      <c r="K93" s="98"/>
      <c r="L93" s="98"/>
      <c r="M93" s="98"/>
      <c r="N93" s="98"/>
      <c r="O93" s="98"/>
      <c r="P93" s="98"/>
      <c r="Q93" s="98"/>
    </row>
    <row r="94" spans="1:17" ht="10.5" customHeight="1" x14ac:dyDescent="0.2">
      <c r="A94" s="101"/>
      <c r="B94" s="109"/>
      <c r="C94" s="110"/>
      <c r="D94" s="58"/>
      <c r="E94" s="108"/>
      <c r="F94" s="58"/>
      <c r="G94" s="108"/>
      <c r="H94" s="106"/>
      <c r="I94" s="98"/>
      <c r="J94" s="98"/>
      <c r="K94" s="98"/>
      <c r="L94" s="98"/>
      <c r="M94" s="98"/>
      <c r="N94" s="98"/>
      <c r="O94" s="98"/>
      <c r="P94" s="98"/>
      <c r="Q94" s="98"/>
    </row>
    <row r="95" spans="1:17" s="55" customFormat="1" ht="15.95" customHeight="1" x14ac:dyDescent="0.2">
      <c r="A95" s="107" t="s">
        <v>44</v>
      </c>
      <c r="B95" s="77" t="s">
        <v>108</v>
      </c>
      <c r="C95" s="78"/>
      <c r="D95" s="66" t="str">
        <f>IFERROR(VLOOKUP(B95,'[1]3. 계정별요약명세서(BS)'!$A$6:$D$125,4,FALSE),"")</f>
        <v/>
      </c>
      <c r="E95" s="52">
        <f>SUM(D96:D101)</f>
        <v>-312847744</v>
      </c>
      <c r="F95" s="66" t="s">
        <v>25</v>
      </c>
      <c r="G95" s="52">
        <v>-1725874510</v>
      </c>
      <c r="H95" s="106"/>
      <c r="I95" s="98"/>
      <c r="J95" s="98"/>
      <c r="K95" s="98"/>
      <c r="L95" s="98"/>
      <c r="M95" s="98"/>
      <c r="N95" s="98"/>
      <c r="O95" s="98"/>
      <c r="P95" s="98"/>
      <c r="Q95" s="98"/>
    </row>
    <row r="96" spans="1:17" ht="15.95" customHeight="1" x14ac:dyDescent="0.2">
      <c r="A96" s="82" t="s">
        <v>15</v>
      </c>
      <c r="B96" s="64" t="s">
        <v>109</v>
      </c>
      <c r="C96" s="65"/>
      <c r="D96" s="66" t="str">
        <f>IFERROR(VLOOKUP(B96,'[1]3. 계정별요약명세서(BS)'!$A$6:$D$125,4,FALSE),"")</f>
        <v/>
      </c>
      <c r="E96" s="108"/>
      <c r="F96" s="66" t="s">
        <v>25</v>
      </c>
      <c r="G96" s="108"/>
      <c r="H96" s="106"/>
      <c r="I96" s="98"/>
      <c r="J96" s="98"/>
      <c r="K96" s="98"/>
      <c r="L96" s="98"/>
      <c r="M96" s="98"/>
      <c r="N96" s="98"/>
      <c r="O96" s="98"/>
      <c r="P96" s="98"/>
      <c r="Q96" s="98"/>
    </row>
    <row r="97" spans="1:17" ht="15.95" customHeight="1" x14ac:dyDescent="0.2">
      <c r="A97" s="82">
        <v>2</v>
      </c>
      <c r="B97" s="64" t="s">
        <v>110</v>
      </c>
      <c r="C97" s="65"/>
      <c r="D97" s="66"/>
      <c r="E97" s="108"/>
      <c r="F97" s="66"/>
      <c r="G97" s="108"/>
      <c r="H97" s="106"/>
      <c r="I97" s="98"/>
      <c r="J97" s="98"/>
      <c r="K97" s="98"/>
      <c r="L97" s="98"/>
      <c r="M97" s="98"/>
      <c r="N97" s="98"/>
      <c r="O97" s="98"/>
      <c r="P97" s="98"/>
      <c r="Q97" s="98"/>
    </row>
    <row r="98" spans="1:17" ht="15.95" customHeight="1" x14ac:dyDescent="0.2">
      <c r="A98" s="82">
        <v>3</v>
      </c>
      <c r="B98" s="64" t="s">
        <v>111</v>
      </c>
      <c r="C98" s="65"/>
      <c r="D98" s="66">
        <f>ROUND('[1]7. 상장주식평가'!G8-('[1]7. 상장주식평가'!G8*21%),0)</f>
        <v>0</v>
      </c>
      <c r="E98" s="108"/>
      <c r="F98" s="66">
        <v>0</v>
      </c>
      <c r="G98" s="108"/>
      <c r="H98" s="106"/>
      <c r="I98" s="98"/>
      <c r="J98" s="98"/>
      <c r="K98" s="98"/>
      <c r="L98" s="98"/>
      <c r="M98" s="98"/>
      <c r="N98" s="98"/>
      <c r="O98" s="98"/>
      <c r="P98" s="98"/>
      <c r="Q98" s="98"/>
    </row>
    <row r="99" spans="1:17" ht="15.95" customHeight="1" x14ac:dyDescent="0.2">
      <c r="A99" s="82">
        <v>4</v>
      </c>
      <c r="B99" s="64" t="s">
        <v>112</v>
      </c>
      <c r="C99" s="65"/>
      <c r="D99" s="66">
        <f>ROUND('[1]7. 상장주식평가'!G6-('[1]7. 상장주식평가'!G6*20.9%),0)</f>
        <v>0</v>
      </c>
      <c r="E99" s="108"/>
      <c r="F99" s="66">
        <v>0</v>
      </c>
      <c r="G99" s="108"/>
      <c r="H99" s="106"/>
      <c r="I99" s="98"/>
      <c r="J99" s="111"/>
      <c r="K99" s="98"/>
      <c r="L99" s="98"/>
      <c r="M99" s="98"/>
      <c r="N99" s="98"/>
      <c r="O99" s="98"/>
      <c r="P99" s="98"/>
      <c r="Q99" s="98"/>
    </row>
    <row r="100" spans="1:17" ht="15.95" customHeight="1" x14ac:dyDescent="0.2">
      <c r="A100" s="82">
        <v>5</v>
      </c>
      <c r="B100" s="64" t="s">
        <v>113</v>
      </c>
      <c r="C100" s="65"/>
      <c r="D100" s="66">
        <v>2091166232</v>
      </c>
      <c r="E100" s="108"/>
      <c r="F100" s="58">
        <v>471856906</v>
      </c>
      <c r="G100" s="108"/>
      <c r="H100" s="61" t="s">
        <v>93</v>
      </c>
      <c r="I100" s="54">
        <f>D100+D101-F100-F101</f>
        <v>1413026766</v>
      </c>
      <c r="J100" s="111"/>
      <c r="K100" s="98"/>
      <c r="L100" s="98"/>
      <c r="M100" s="98"/>
      <c r="N100" s="98"/>
      <c r="O100" s="98"/>
      <c r="P100" s="98"/>
      <c r="Q100" s="98"/>
    </row>
    <row r="101" spans="1:17" ht="15.95" customHeight="1" x14ac:dyDescent="0.2">
      <c r="A101" s="82">
        <v>6</v>
      </c>
      <c r="B101" s="64" t="s">
        <v>114</v>
      </c>
      <c r="C101" s="65"/>
      <c r="D101" s="66">
        <v>-2404013976</v>
      </c>
      <c r="E101" s="108"/>
      <c r="F101" s="66">
        <v>-2197731416</v>
      </c>
      <c r="G101" s="108"/>
      <c r="H101" s="61" t="s">
        <v>93</v>
      </c>
      <c r="I101" s="98"/>
      <c r="J101" s="111"/>
      <c r="K101" s="100"/>
      <c r="L101" s="98"/>
      <c r="M101" s="98"/>
      <c r="N101" s="98"/>
      <c r="O101" s="98"/>
      <c r="P101" s="98"/>
      <c r="Q101" s="98"/>
    </row>
    <row r="102" spans="1:17" ht="10.5" customHeight="1" x14ac:dyDescent="0.2">
      <c r="A102" s="82"/>
      <c r="B102" s="64"/>
      <c r="C102" s="65"/>
      <c r="D102" s="112"/>
      <c r="E102" s="108"/>
      <c r="F102" s="58"/>
      <c r="G102" s="108"/>
      <c r="H102" s="106"/>
      <c r="I102" s="98"/>
      <c r="J102" s="111"/>
      <c r="K102" s="98"/>
      <c r="L102" s="98"/>
      <c r="M102" s="98"/>
      <c r="N102" s="98"/>
      <c r="O102" s="98"/>
      <c r="P102" s="98"/>
      <c r="Q102" s="98"/>
    </row>
    <row r="103" spans="1:17" s="55" customFormat="1" ht="15.95" customHeight="1" x14ac:dyDescent="0.2">
      <c r="A103" s="107" t="s">
        <v>115</v>
      </c>
      <c r="B103" s="77" t="s">
        <v>116</v>
      </c>
      <c r="C103" s="78"/>
      <c r="D103" s="58"/>
      <c r="E103" s="52">
        <f>SUM(D104:D106)</f>
        <v>37413012950</v>
      </c>
      <c r="F103" s="58"/>
      <c r="G103" s="52">
        <v>34932671781</v>
      </c>
      <c r="H103" s="61"/>
      <c r="I103" s="98"/>
      <c r="J103" s="98"/>
      <c r="K103" s="98"/>
      <c r="L103" s="98"/>
      <c r="M103" s="98"/>
      <c r="N103" s="98"/>
      <c r="O103" s="98"/>
      <c r="P103" s="98"/>
      <c r="Q103" s="98"/>
    </row>
    <row r="104" spans="1:17" s="55" customFormat="1" ht="15.95" customHeight="1" x14ac:dyDescent="0.2">
      <c r="A104" s="82">
        <v>1</v>
      </c>
      <c r="B104" s="64" t="s">
        <v>117</v>
      </c>
      <c r="C104" s="78"/>
      <c r="D104" s="58">
        <v>1104968375</v>
      </c>
      <c r="E104" s="52"/>
      <c r="F104" s="58">
        <v>1104968375</v>
      </c>
      <c r="G104" s="52"/>
      <c r="H104" s="54"/>
      <c r="I104" s="98"/>
      <c r="J104" s="98"/>
      <c r="K104" s="98"/>
      <c r="L104" s="98"/>
      <c r="M104" s="98"/>
      <c r="N104" s="98"/>
      <c r="O104" s="98"/>
      <c r="P104" s="98"/>
      <c r="Q104" s="98"/>
    </row>
    <row r="105" spans="1:17" ht="15.95" customHeight="1" x14ac:dyDescent="0.2">
      <c r="A105" s="82">
        <v>2</v>
      </c>
      <c r="B105" s="64" t="s">
        <v>118</v>
      </c>
      <c r="C105" s="65"/>
      <c r="D105" s="58">
        <f>F105+F106</f>
        <v>33827703406</v>
      </c>
      <c r="E105" s="108"/>
      <c r="F105" s="58">
        <v>27954844233</v>
      </c>
      <c r="G105" s="108"/>
      <c r="H105" s="54"/>
      <c r="I105" s="98"/>
      <c r="J105" s="98"/>
      <c r="K105" s="98"/>
      <c r="L105" s="98"/>
      <c r="M105" s="98"/>
      <c r="N105" s="98"/>
      <c r="O105" s="98"/>
      <c r="P105" s="98"/>
      <c r="Q105" s="98"/>
    </row>
    <row r="106" spans="1:17" ht="15.95" customHeight="1" x14ac:dyDescent="0.2">
      <c r="A106" s="82">
        <v>3</v>
      </c>
      <c r="B106" s="64" t="s">
        <v>119</v>
      </c>
      <c r="C106" s="65"/>
      <c r="D106" s="66">
        <f>'[1]2. 손익계산서'!H101</f>
        <v>2480341169</v>
      </c>
      <c r="E106" s="113"/>
      <c r="F106" s="66">
        <v>5872859173</v>
      </c>
      <c r="G106" s="113"/>
      <c r="H106" s="84"/>
      <c r="I106" s="98"/>
      <c r="J106" s="98"/>
      <c r="K106" s="98"/>
      <c r="L106" s="98"/>
      <c r="M106" s="98"/>
      <c r="N106" s="98"/>
      <c r="O106" s="98"/>
      <c r="P106" s="98"/>
      <c r="Q106" s="98"/>
    </row>
    <row r="107" spans="1:17" s="55" customFormat="1" ht="17.25" customHeight="1" x14ac:dyDescent="0.2">
      <c r="A107" s="103" t="s">
        <v>120</v>
      </c>
      <c r="B107" s="87"/>
      <c r="C107" s="87"/>
      <c r="D107" s="51"/>
      <c r="E107" s="114">
        <f>E87+E90+E95+E103</f>
        <v>95992573217</v>
      </c>
      <c r="F107" s="51"/>
      <c r="G107" s="114">
        <v>92099205282</v>
      </c>
      <c r="H107" s="61"/>
      <c r="I107" s="98"/>
      <c r="J107" s="98"/>
      <c r="K107" s="98"/>
      <c r="L107" s="98"/>
      <c r="M107" s="98"/>
      <c r="N107" s="98"/>
      <c r="O107" s="98"/>
      <c r="P107" s="98"/>
      <c r="Q107" s="98"/>
    </row>
    <row r="108" spans="1:17" s="55" customFormat="1" ht="10.5" customHeight="1" x14ac:dyDescent="0.2">
      <c r="A108" s="103"/>
      <c r="B108" s="87"/>
      <c r="C108" s="87"/>
      <c r="D108" s="51"/>
      <c r="E108" s="52"/>
      <c r="F108" s="51"/>
      <c r="G108" s="52"/>
      <c r="H108" s="2"/>
      <c r="I108" s="98"/>
      <c r="J108" s="98"/>
      <c r="K108" s="98"/>
      <c r="L108" s="98"/>
      <c r="M108" s="98"/>
      <c r="N108" s="98"/>
      <c r="O108" s="98"/>
      <c r="P108" s="98"/>
      <c r="Q108" s="98"/>
    </row>
    <row r="109" spans="1:17" s="55" customFormat="1" ht="17.25" customHeight="1" thickBot="1" x14ac:dyDescent="0.25">
      <c r="A109" s="38" t="s">
        <v>121</v>
      </c>
      <c r="B109" s="115"/>
      <c r="C109" s="115"/>
      <c r="D109" s="51"/>
      <c r="E109" s="116">
        <f>E107+E83</f>
        <v>105708784227</v>
      </c>
      <c r="F109" s="53"/>
      <c r="G109" s="116">
        <v>101204102135</v>
      </c>
      <c r="H109" s="2"/>
      <c r="I109" s="98"/>
      <c r="J109" s="98"/>
      <c r="K109" s="98"/>
      <c r="L109" s="98"/>
      <c r="M109" s="98"/>
      <c r="N109" s="98"/>
      <c r="O109" s="98"/>
      <c r="P109" s="98"/>
      <c r="Q109" s="98"/>
    </row>
    <row r="110" spans="1:17" ht="10.5" customHeight="1" thickTop="1" thickBot="1" x14ac:dyDescent="0.25">
      <c r="A110" s="117"/>
      <c r="B110" s="118"/>
      <c r="C110" s="118"/>
      <c r="D110" s="119"/>
      <c r="E110" s="120"/>
      <c r="F110" s="121"/>
      <c r="G110" s="120"/>
      <c r="I110" s="98"/>
      <c r="J110" s="98"/>
      <c r="K110" s="98"/>
      <c r="L110" s="98"/>
      <c r="M110" s="98"/>
      <c r="N110" s="98"/>
      <c r="O110" s="98"/>
      <c r="P110" s="98"/>
      <c r="Q110" s="98"/>
    </row>
    <row r="111" spans="1:17" ht="17.25" customHeight="1" x14ac:dyDescent="0.2">
      <c r="I111" s="98"/>
      <c r="J111" s="98"/>
      <c r="K111" s="98"/>
      <c r="L111" s="98"/>
      <c r="M111" s="98"/>
      <c r="N111" s="98"/>
      <c r="O111" s="98"/>
      <c r="P111" s="98"/>
      <c r="Q111" s="98"/>
    </row>
    <row r="112" spans="1:17" ht="17.25" customHeight="1" x14ac:dyDescent="0.2">
      <c r="E112" s="2" t="b">
        <f>E60=E109</f>
        <v>1</v>
      </c>
      <c r="G112" s="2" t="b">
        <f>G60=G109</f>
        <v>1</v>
      </c>
      <c r="H112" s="2">
        <f>E113+I70</f>
        <v>0</v>
      </c>
      <c r="I112" s="98"/>
      <c r="J112" s="98"/>
      <c r="K112" s="98"/>
      <c r="L112" s="98"/>
      <c r="M112" s="98"/>
      <c r="N112" s="98"/>
      <c r="O112" s="98"/>
      <c r="P112" s="98"/>
      <c r="Q112" s="98"/>
    </row>
    <row r="113" spans="2:54" ht="17.25" hidden="1" customHeight="1" x14ac:dyDescent="0.2">
      <c r="E113" s="62">
        <f>E60-E109</f>
        <v>0</v>
      </c>
      <c r="H113" s="122"/>
      <c r="I113" s="98"/>
      <c r="J113" s="98"/>
      <c r="K113" s="98"/>
      <c r="L113" s="98"/>
      <c r="M113" s="98"/>
      <c r="N113" s="98"/>
      <c r="O113" s="98"/>
      <c r="P113" s="98"/>
      <c r="Q113" s="98"/>
    </row>
    <row r="114" spans="2:54" ht="17.25" hidden="1" customHeight="1" x14ac:dyDescent="0.2">
      <c r="D114" s="2" t="s">
        <v>122</v>
      </c>
      <c r="H114" s="123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  <c r="AA114" s="98"/>
      <c r="AB114" s="98"/>
      <c r="AC114" s="98"/>
      <c r="AD114" s="98"/>
      <c r="AE114" s="98"/>
      <c r="AF114" s="98"/>
      <c r="AG114" s="98"/>
      <c r="AH114" s="98"/>
      <c r="AI114" s="98"/>
      <c r="AJ114" s="98"/>
      <c r="AK114" s="98"/>
      <c r="AL114" s="98"/>
      <c r="AM114" s="98"/>
      <c r="AN114" s="98"/>
      <c r="AO114" s="98"/>
      <c r="AP114" s="98"/>
      <c r="AQ114" s="98"/>
      <c r="AR114" s="98"/>
      <c r="AS114" s="98"/>
      <c r="AT114" s="98"/>
      <c r="AU114" s="98"/>
      <c r="AV114" s="98"/>
      <c r="AW114" s="98"/>
      <c r="AX114" s="98"/>
      <c r="AY114" s="98"/>
      <c r="AZ114" s="98"/>
      <c r="BA114" s="98"/>
      <c r="BB114" s="98"/>
    </row>
    <row r="115" spans="2:54" ht="17.25" hidden="1" customHeight="1" x14ac:dyDescent="0.2">
      <c r="H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  <c r="AB115" s="98"/>
      <c r="AC115" s="98"/>
      <c r="AD115" s="98"/>
      <c r="AE115" s="98"/>
      <c r="AF115" s="98"/>
      <c r="AG115" s="98"/>
      <c r="AH115" s="98"/>
      <c r="AI115" s="98"/>
      <c r="AJ115" s="98"/>
      <c r="AK115" s="98"/>
      <c r="AL115" s="98"/>
      <c r="AM115" s="98"/>
      <c r="AN115" s="98"/>
      <c r="AO115" s="98"/>
      <c r="AP115" s="98"/>
      <c r="AQ115" s="98"/>
      <c r="AR115" s="98"/>
      <c r="AS115" s="98"/>
      <c r="AT115" s="98"/>
      <c r="AU115" s="98"/>
      <c r="AV115" s="98"/>
      <c r="AW115" s="98"/>
      <c r="AX115" s="98"/>
      <c r="AY115" s="98"/>
      <c r="AZ115" s="98"/>
      <c r="BA115" s="98"/>
      <c r="BB115" s="98"/>
    </row>
    <row r="116" spans="2:54" ht="17.25" hidden="1" customHeight="1" x14ac:dyDescent="0.2">
      <c r="B116" s="78"/>
      <c r="C116" s="78"/>
      <c r="D116" s="124" t="s">
        <v>123</v>
      </c>
      <c r="H116" s="98"/>
      <c r="I116" s="7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  <c r="AA116" s="98"/>
      <c r="AB116" s="98"/>
      <c r="AC116" s="98"/>
      <c r="AD116" s="98"/>
      <c r="AE116" s="98"/>
      <c r="AF116" s="98"/>
      <c r="AG116" s="98"/>
      <c r="AH116" s="98"/>
      <c r="AI116" s="98"/>
      <c r="AJ116" s="98"/>
      <c r="AK116" s="98"/>
      <c r="AL116" s="98"/>
      <c r="AM116" s="98"/>
      <c r="AN116" s="98"/>
      <c r="AO116" s="98"/>
      <c r="AP116" s="98"/>
      <c r="AQ116" s="98"/>
      <c r="AR116" s="98"/>
      <c r="AS116" s="98"/>
      <c r="AT116" s="98"/>
      <c r="AU116" s="98"/>
      <c r="AV116" s="98"/>
      <c r="AW116" s="98"/>
      <c r="AX116" s="98"/>
      <c r="AY116" s="98"/>
      <c r="AZ116" s="98"/>
      <c r="BA116" s="98"/>
      <c r="BB116" s="98"/>
    </row>
    <row r="117" spans="2:54" ht="17.25" hidden="1" customHeight="1" x14ac:dyDescent="0.2">
      <c r="D117" s="125" t="s">
        <v>124</v>
      </c>
      <c r="E117" s="126"/>
      <c r="F117" s="125" t="s">
        <v>125</v>
      </c>
      <c r="G117" s="126"/>
      <c r="H117" s="127" t="b">
        <f>SUM(E118:E121)=SUM(G118:G121)</f>
        <v>1</v>
      </c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  <c r="AA117" s="98"/>
      <c r="AB117" s="98"/>
      <c r="AC117" s="98"/>
      <c r="AD117" s="98"/>
      <c r="AE117" s="98"/>
      <c r="AF117" s="98"/>
      <c r="AG117" s="98"/>
      <c r="AH117" s="98"/>
      <c r="AI117" s="98"/>
      <c r="AJ117" s="98"/>
      <c r="AK117" s="98"/>
      <c r="AL117" s="98"/>
      <c r="AM117" s="98"/>
      <c r="AN117" s="98"/>
      <c r="AO117" s="98"/>
      <c r="AP117" s="98"/>
      <c r="AQ117" s="98"/>
      <c r="AR117" s="98"/>
      <c r="AS117" s="98"/>
      <c r="AT117" s="98"/>
      <c r="AU117" s="98"/>
      <c r="AV117" s="98"/>
      <c r="AW117" s="98"/>
      <c r="AX117" s="98"/>
      <c r="AY117" s="98"/>
      <c r="AZ117" s="98"/>
      <c r="BA117" s="98"/>
      <c r="BB117" s="98"/>
    </row>
    <row r="118" spans="2:54" ht="17.25" hidden="1" customHeight="1" x14ac:dyDescent="0.2">
      <c r="D118" s="128" t="s">
        <v>126</v>
      </c>
      <c r="E118" s="129">
        <f>G134</f>
        <v>2275808958</v>
      </c>
      <c r="F118" s="130" t="s">
        <v>127</v>
      </c>
      <c r="G118" s="129">
        <f>G132</f>
        <v>420760493</v>
      </c>
      <c r="H118" s="131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  <c r="AA118" s="98"/>
      <c r="AB118" s="98"/>
      <c r="AC118" s="98"/>
      <c r="AD118" s="98"/>
      <c r="AE118" s="98"/>
      <c r="AF118" s="98"/>
      <c r="AG118" s="98"/>
      <c r="AH118" s="98"/>
      <c r="AI118" s="98"/>
      <c r="AJ118" s="98"/>
      <c r="AK118" s="98"/>
      <c r="AL118" s="98"/>
      <c r="AM118" s="98"/>
      <c r="AN118" s="98"/>
      <c r="AO118" s="98"/>
      <c r="AP118" s="98"/>
      <c r="AQ118" s="98"/>
      <c r="AR118" s="98"/>
      <c r="AS118" s="98"/>
      <c r="AT118" s="98"/>
      <c r="AU118" s="98"/>
      <c r="AV118" s="98"/>
      <c r="AW118" s="98"/>
      <c r="AX118" s="98"/>
      <c r="AY118" s="98"/>
      <c r="AZ118" s="98"/>
      <c r="BA118" s="98"/>
      <c r="BB118" s="98"/>
    </row>
    <row r="119" spans="2:54" ht="17.25" hidden="1" customHeight="1" x14ac:dyDescent="0.2">
      <c r="D119" s="130" t="s">
        <v>30</v>
      </c>
      <c r="E119" s="129">
        <f>G127</f>
        <v>0</v>
      </c>
      <c r="F119" s="130" t="s">
        <v>128</v>
      </c>
      <c r="G119" s="129">
        <f>G131</f>
        <v>0</v>
      </c>
      <c r="H119" s="131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  <c r="AA119" s="98"/>
      <c r="AB119" s="98"/>
      <c r="AC119" s="98"/>
      <c r="AD119" s="98"/>
      <c r="AE119" s="98"/>
      <c r="AF119" s="98"/>
      <c r="AG119" s="98"/>
      <c r="AH119" s="98"/>
      <c r="AI119" s="98"/>
      <c r="AJ119" s="98"/>
      <c r="AK119" s="98"/>
      <c r="AL119" s="98"/>
      <c r="AM119" s="98"/>
      <c r="AN119" s="98"/>
      <c r="AO119" s="98"/>
      <c r="AP119" s="98"/>
      <c r="AQ119" s="98"/>
      <c r="AR119" s="98"/>
      <c r="AS119" s="98"/>
      <c r="AT119" s="98"/>
      <c r="AU119" s="98"/>
      <c r="AV119" s="98"/>
      <c r="AW119" s="98"/>
      <c r="AX119" s="98"/>
      <c r="AY119" s="98"/>
      <c r="AZ119" s="98"/>
      <c r="BA119" s="98"/>
      <c r="BB119" s="98"/>
    </row>
    <row r="120" spans="2:54" ht="17.25" hidden="1" customHeight="1" x14ac:dyDescent="0.2">
      <c r="D120" s="130" t="s">
        <v>129</v>
      </c>
      <c r="E120" s="129">
        <f>G128</f>
        <v>-821141896</v>
      </c>
      <c r="F120" s="128" t="s">
        <v>130</v>
      </c>
      <c r="G120" s="129">
        <f>G130</f>
        <v>1033463969</v>
      </c>
      <c r="H120" s="131"/>
      <c r="I120" s="132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  <c r="AA120" s="98"/>
      <c r="AB120" s="98"/>
      <c r="AC120" s="98"/>
      <c r="AD120" s="98"/>
      <c r="AE120" s="98"/>
      <c r="AF120" s="98"/>
      <c r="AG120" s="98"/>
      <c r="AH120" s="98"/>
      <c r="AI120" s="98"/>
      <c r="AJ120" s="98"/>
      <c r="AK120" s="98"/>
      <c r="AL120" s="98"/>
      <c r="AM120" s="98"/>
      <c r="AN120" s="98"/>
      <c r="AO120" s="98"/>
      <c r="AP120" s="98"/>
      <c r="AQ120" s="98"/>
      <c r="AR120" s="98"/>
      <c r="AS120" s="98"/>
      <c r="AT120" s="98"/>
      <c r="AU120" s="98"/>
      <c r="AV120" s="98"/>
      <c r="AW120" s="98"/>
      <c r="AX120" s="98"/>
      <c r="AY120" s="98"/>
      <c r="AZ120" s="98"/>
      <c r="BA120" s="98"/>
      <c r="BB120" s="98"/>
    </row>
    <row r="121" spans="2:54" ht="17.25" hidden="1" customHeight="1" x14ac:dyDescent="0.2">
      <c r="D121" s="129"/>
      <c r="E121" s="129"/>
      <c r="F121" s="130" t="s">
        <v>131</v>
      </c>
      <c r="G121" s="129">
        <f>-G126</f>
        <v>442600</v>
      </c>
      <c r="H121" s="131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  <c r="AB121" s="98"/>
      <c r="AC121" s="98"/>
      <c r="AD121" s="98"/>
      <c r="AE121" s="98"/>
      <c r="AF121" s="98"/>
      <c r="AG121" s="98"/>
      <c r="AH121" s="98"/>
      <c r="AI121" s="98"/>
      <c r="AJ121" s="98"/>
      <c r="AK121" s="98"/>
      <c r="AL121" s="98"/>
      <c r="AM121" s="98"/>
      <c r="AN121" s="98"/>
      <c r="AO121" s="98"/>
      <c r="AP121" s="98"/>
      <c r="AQ121" s="98"/>
      <c r="AR121" s="98"/>
      <c r="AS121" s="98"/>
      <c r="AT121" s="98"/>
      <c r="AU121" s="98"/>
      <c r="AV121" s="98"/>
      <c r="AW121" s="98"/>
      <c r="AX121" s="98"/>
      <c r="AY121" s="98"/>
      <c r="AZ121" s="98"/>
      <c r="BA121" s="98"/>
      <c r="BB121" s="98"/>
    </row>
    <row r="122" spans="2:54" ht="17.25" hidden="1" customHeight="1" x14ac:dyDescent="0.2">
      <c r="D122" s="14"/>
      <c r="E122" s="14"/>
      <c r="F122" s="14"/>
      <c r="G122" s="14"/>
      <c r="H122" s="131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  <c r="AA122" s="98"/>
      <c r="AB122" s="98"/>
      <c r="AC122" s="98"/>
      <c r="AD122" s="98"/>
      <c r="AE122" s="98"/>
      <c r="AF122" s="98"/>
      <c r="AG122" s="98"/>
      <c r="AH122" s="98"/>
      <c r="AI122" s="98"/>
      <c r="AJ122" s="98"/>
      <c r="AK122" s="98"/>
      <c r="AL122" s="98"/>
      <c r="AM122" s="98"/>
      <c r="AN122" s="98"/>
      <c r="AO122" s="98"/>
      <c r="AP122" s="98"/>
      <c r="AQ122" s="98"/>
      <c r="AR122" s="98"/>
      <c r="AS122" s="98"/>
      <c r="AT122" s="98"/>
      <c r="AU122" s="98"/>
      <c r="AV122" s="98"/>
      <c r="AW122" s="98"/>
      <c r="AX122" s="98"/>
      <c r="AY122" s="98"/>
      <c r="AZ122" s="98"/>
      <c r="BA122" s="98"/>
      <c r="BB122" s="98"/>
    </row>
    <row r="123" spans="2:54" ht="17.25" hidden="1" customHeight="1" x14ac:dyDescent="0.2">
      <c r="D123" s="14"/>
      <c r="E123" s="14"/>
      <c r="F123" s="14"/>
      <c r="G123" s="14"/>
      <c r="H123" s="131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  <c r="AA123" s="98"/>
      <c r="AB123" s="98"/>
      <c r="AC123" s="98"/>
      <c r="AD123" s="98"/>
      <c r="AE123" s="98"/>
      <c r="AF123" s="98"/>
      <c r="AG123" s="98"/>
      <c r="AH123" s="98"/>
      <c r="AI123" s="98"/>
      <c r="AJ123" s="98"/>
      <c r="AK123" s="98"/>
      <c r="AL123" s="98"/>
      <c r="AM123" s="98"/>
      <c r="AN123" s="98"/>
      <c r="AO123" s="98"/>
      <c r="AP123" s="98"/>
      <c r="AQ123" s="98"/>
      <c r="AR123" s="98"/>
      <c r="AS123" s="98"/>
      <c r="AT123" s="98"/>
      <c r="AU123" s="98"/>
      <c r="AV123" s="98"/>
      <c r="AW123" s="98"/>
      <c r="AX123" s="98"/>
      <c r="AY123" s="98"/>
      <c r="AZ123" s="98"/>
      <c r="BA123" s="98"/>
      <c r="BB123" s="98"/>
    </row>
    <row r="124" spans="2:54" ht="17.25" hidden="1" customHeight="1" x14ac:dyDescent="0.2">
      <c r="D124" s="14" t="s">
        <v>132</v>
      </c>
      <c r="E124" s="14"/>
      <c r="F124" s="14"/>
      <c r="G124" s="14"/>
      <c r="H124" s="131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  <c r="AA124" s="98"/>
      <c r="AB124" s="98"/>
      <c r="AC124" s="98"/>
      <c r="AD124" s="98"/>
      <c r="AE124" s="98"/>
      <c r="AF124" s="98"/>
      <c r="AG124" s="98"/>
      <c r="AH124" s="98"/>
      <c r="AI124" s="98"/>
      <c r="AJ124" s="98"/>
      <c r="AK124" s="98"/>
      <c r="AL124" s="98"/>
      <c r="AM124" s="98"/>
      <c r="AN124" s="98"/>
      <c r="AO124" s="98"/>
      <c r="AP124" s="98"/>
      <c r="AQ124" s="98"/>
      <c r="AR124" s="98"/>
      <c r="AS124" s="98"/>
      <c r="AT124" s="98"/>
      <c r="AU124" s="98"/>
      <c r="AV124" s="98"/>
      <c r="AW124" s="98"/>
      <c r="AX124" s="98"/>
      <c r="AY124" s="98"/>
      <c r="AZ124" s="98"/>
      <c r="BA124" s="98"/>
      <c r="BB124" s="98"/>
    </row>
    <row r="125" spans="2:54" ht="17.25" hidden="1" customHeight="1" x14ac:dyDescent="0.2">
      <c r="D125" s="133" t="s">
        <v>133</v>
      </c>
      <c r="E125" s="133" t="s">
        <v>134</v>
      </c>
      <c r="F125" s="133" t="s">
        <v>135</v>
      </c>
      <c r="G125" s="133" t="s">
        <v>136</v>
      </c>
      <c r="H125" s="134"/>
      <c r="I125" s="135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  <c r="AA125" s="98"/>
      <c r="AB125" s="98"/>
      <c r="AC125" s="98"/>
      <c r="AD125" s="98"/>
      <c r="AE125" s="98"/>
      <c r="AF125" s="98"/>
      <c r="AG125" s="98"/>
      <c r="AH125" s="98"/>
      <c r="AI125" s="98"/>
      <c r="AJ125" s="98"/>
      <c r="AK125" s="98"/>
      <c r="AL125" s="98"/>
      <c r="AM125" s="98"/>
      <c r="AN125" s="98"/>
      <c r="AO125" s="98"/>
      <c r="AP125" s="98"/>
      <c r="AQ125" s="98"/>
      <c r="AR125" s="98"/>
      <c r="AS125" s="98"/>
      <c r="AT125" s="98"/>
      <c r="AU125" s="98"/>
      <c r="AV125" s="98"/>
      <c r="AW125" s="98"/>
      <c r="AX125" s="98"/>
      <c r="AY125" s="98"/>
      <c r="AZ125" s="98"/>
      <c r="BA125" s="98"/>
      <c r="BB125" s="98"/>
    </row>
    <row r="126" spans="2:54" ht="17.25" hidden="1" customHeight="1" x14ac:dyDescent="0.2">
      <c r="D126" s="130" t="s">
        <v>131</v>
      </c>
      <c r="E126" s="136">
        <v>442600</v>
      </c>
      <c r="F126" s="136">
        <v>0</v>
      </c>
      <c r="G126" s="136">
        <f>F126-E126</f>
        <v>-442600</v>
      </c>
      <c r="H126" s="134"/>
      <c r="I126" s="135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  <c r="AA126" s="98"/>
      <c r="AB126" s="98"/>
      <c r="AC126" s="98"/>
      <c r="AD126" s="98"/>
      <c r="AE126" s="98"/>
      <c r="AF126" s="98"/>
      <c r="AG126" s="98"/>
      <c r="AH126" s="98"/>
      <c r="AI126" s="98"/>
      <c r="AJ126" s="98"/>
      <c r="AK126" s="98"/>
      <c r="AL126" s="98"/>
      <c r="AM126" s="98"/>
      <c r="AN126" s="98"/>
      <c r="AO126" s="98"/>
      <c r="AP126" s="98"/>
      <c r="AQ126" s="98"/>
      <c r="AR126" s="98"/>
      <c r="AS126" s="98"/>
      <c r="AT126" s="98"/>
      <c r="AU126" s="98"/>
      <c r="AV126" s="98"/>
      <c r="AW126" s="98"/>
      <c r="AX126" s="98"/>
      <c r="AY126" s="98"/>
      <c r="AZ126" s="98"/>
      <c r="BA126" s="98"/>
      <c r="BB126" s="98"/>
    </row>
    <row r="127" spans="2:54" ht="17.25" hidden="1" customHeight="1" x14ac:dyDescent="0.2">
      <c r="D127" s="130" t="s">
        <v>137</v>
      </c>
      <c r="E127" s="136">
        <v>18637575</v>
      </c>
      <c r="F127" s="136">
        <v>18637575</v>
      </c>
      <c r="G127" s="136">
        <f>F127-E127</f>
        <v>0</v>
      </c>
      <c r="H127" s="134"/>
      <c r="I127" s="135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  <c r="AA127" s="98"/>
      <c r="AB127" s="98"/>
      <c r="AC127" s="98"/>
      <c r="AD127" s="98"/>
      <c r="AE127" s="98"/>
      <c r="AF127" s="98"/>
      <c r="AG127" s="98"/>
      <c r="AH127" s="98"/>
      <c r="AI127" s="98"/>
      <c r="AJ127" s="98"/>
      <c r="AK127" s="98"/>
      <c r="AL127" s="98"/>
      <c r="AM127" s="98"/>
      <c r="AN127" s="98"/>
      <c r="AO127" s="98"/>
      <c r="AP127" s="98"/>
      <c r="AQ127" s="98"/>
      <c r="AR127" s="98"/>
      <c r="AS127" s="98"/>
      <c r="AT127" s="98"/>
      <c r="AU127" s="98"/>
      <c r="AV127" s="98"/>
      <c r="AW127" s="98"/>
      <c r="AX127" s="98"/>
      <c r="AY127" s="98"/>
      <c r="AZ127" s="98"/>
      <c r="BA127" s="98"/>
      <c r="BB127" s="98"/>
    </row>
    <row r="128" spans="2:54" ht="17.25" hidden="1" customHeight="1" x14ac:dyDescent="0.2">
      <c r="D128" s="130" t="s">
        <v>70</v>
      </c>
      <c r="E128" s="136">
        <v>821141896</v>
      </c>
      <c r="F128" s="136">
        <v>0</v>
      </c>
      <c r="G128" s="136">
        <f>F128-E128</f>
        <v>-821141896</v>
      </c>
      <c r="H128" s="134"/>
      <c r="I128" s="135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  <c r="AA128" s="98"/>
      <c r="AB128" s="98"/>
      <c r="AC128" s="98"/>
      <c r="AD128" s="98"/>
      <c r="AE128" s="98"/>
      <c r="AF128" s="98"/>
      <c r="AG128" s="98"/>
      <c r="AH128" s="98"/>
      <c r="AI128" s="98"/>
      <c r="AJ128" s="98"/>
      <c r="AK128" s="98"/>
      <c r="AL128" s="98"/>
      <c r="AM128" s="98"/>
      <c r="AN128" s="98"/>
      <c r="AO128" s="98"/>
      <c r="AP128" s="98"/>
      <c r="AQ128" s="98"/>
      <c r="AR128" s="98"/>
      <c r="AS128" s="98"/>
      <c r="AT128" s="98"/>
      <c r="AU128" s="98"/>
      <c r="AV128" s="98"/>
      <c r="AW128" s="98"/>
      <c r="AX128" s="98"/>
      <c r="AY128" s="98"/>
      <c r="AZ128" s="98"/>
      <c r="BA128" s="98"/>
      <c r="BB128" s="98"/>
    </row>
    <row r="129" spans="4:54" ht="17.25" hidden="1" customHeight="1" x14ac:dyDescent="0.2">
      <c r="D129" s="130"/>
      <c r="E129" s="136"/>
      <c r="F129" s="136"/>
      <c r="G129" s="136"/>
      <c r="H129" s="134"/>
      <c r="I129" s="135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  <c r="AA129" s="98"/>
      <c r="AB129" s="98"/>
      <c r="AC129" s="98"/>
      <c r="AD129" s="98"/>
      <c r="AE129" s="98"/>
      <c r="AF129" s="98"/>
      <c r="AG129" s="98"/>
      <c r="AH129" s="98"/>
      <c r="AI129" s="98"/>
      <c r="AJ129" s="98"/>
      <c r="AK129" s="98"/>
      <c r="AL129" s="98"/>
      <c r="AM129" s="98"/>
      <c r="AN129" s="98"/>
      <c r="AO129" s="98"/>
      <c r="AP129" s="98"/>
      <c r="AQ129" s="98"/>
      <c r="AR129" s="98"/>
      <c r="AS129" s="98"/>
      <c r="AT129" s="98"/>
      <c r="AU129" s="98"/>
      <c r="AV129" s="98"/>
      <c r="AW129" s="98"/>
      <c r="AX129" s="98"/>
      <c r="AY129" s="98"/>
      <c r="AZ129" s="98"/>
      <c r="BA129" s="98"/>
      <c r="BB129" s="98"/>
    </row>
    <row r="130" spans="4:54" ht="17.25" hidden="1" customHeight="1" x14ac:dyDescent="0.2">
      <c r="D130" s="130" t="s">
        <v>138</v>
      </c>
      <c r="E130" s="136">
        <v>114570949</v>
      </c>
      <c r="F130" s="136">
        <f>E144</f>
        <v>1148034918</v>
      </c>
      <c r="G130" s="136">
        <f>F130-E130</f>
        <v>1033463969</v>
      </c>
      <c r="H130" s="134"/>
      <c r="I130" s="135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  <c r="AA130" s="98"/>
      <c r="AB130" s="98"/>
      <c r="AC130" s="98"/>
      <c r="AD130" s="98"/>
      <c r="AE130" s="98"/>
      <c r="AF130" s="98"/>
      <c r="AG130" s="98"/>
      <c r="AH130" s="98"/>
      <c r="AI130" s="98"/>
      <c r="AJ130" s="98"/>
      <c r="AK130" s="98"/>
      <c r="AL130" s="98"/>
      <c r="AM130" s="98"/>
      <c r="AN130" s="98"/>
      <c r="AO130" s="98"/>
      <c r="AP130" s="98"/>
      <c r="AQ130" s="98"/>
      <c r="AR130" s="98"/>
      <c r="AS130" s="98"/>
      <c r="AT130" s="98"/>
      <c r="AU130" s="98"/>
      <c r="AV130" s="98"/>
      <c r="AW130" s="98"/>
      <c r="AX130" s="98"/>
      <c r="AY130" s="98"/>
      <c r="AZ130" s="98"/>
      <c r="BA130" s="98"/>
      <c r="BB130" s="98"/>
    </row>
    <row r="131" spans="4:54" ht="17.25" hidden="1" customHeight="1" x14ac:dyDescent="0.2">
      <c r="D131" s="130" t="s">
        <v>139</v>
      </c>
      <c r="E131" s="136">
        <v>0</v>
      </c>
      <c r="F131" s="136">
        <v>0</v>
      </c>
      <c r="G131" s="136"/>
      <c r="H131" s="134"/>
      <c r="I131" s="135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  <c r="AA131" s="98"/>
      <c r="AB131" s="98"/>
      <c r="AC131" s="98"/>
      <c r="AD131" s="98"/>
      <c r="AE131" s="98"/>
      <c r="AF131" s="98"/>
      <c r="AG131" s="98"/>
      <c r="AH131" s="98"/>
      <c r="AI131" s="98"/>
      <c r="AJ131" s="98"/>
      <c r="AK131" s="98"/>
      <c r="AL131" s="98"/>
      <c r="AM131" s="98"/>
      <c r="AN131" s="98"/>
      <c r="AO131" s="98"/>
      <c r="AP131" s="98"/>
      <c r="AQ131" s="98"/>
      <c r="AR131" s="98"/>
      <c r="AS131" s="98"/>
      <c r="AT131" s="98"/>
      <c r="AU131" s="98"/>
      <c r="AV131" s="98"/>
      <c r="AW131" s="98"/>
      <c r="AX131" s="98"/>
      <c r="AY131" s="98"/>
      <c r="AZ131" s="98"/>
      <c r="BA131" s="98"/>
      <c r="BB131" s="98"/>
    </row>
    <row r="132" spans="4:54" ht="17.25" hidden="1" customHeight="1" x14ac:dyDescent="0.2">
      <c r="D132" s="130" t="s">
        <v>127</v>
      </c>
      <c r="E132" s="136">
        <v>427857963</v>
      </c>
      <c r="F132" s="136">
        <v>848618456</v>
      </c>
      <c r="G132" s="136">
        <f>F132-E132</f>
        <v>420760493</v>
      </c>
      <c r="H132" s="134"/>
      <c r="I132" s="135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  <c r="AA132" s="98"/>
      <c r="AB132" s="98"/>
      <c r="AC132" s="98"/>
      <c r="AD132" s="98"/>
      <c r="AE132" s="98"/>
      <c r="AF132" s="98"/>
      <c r="AG132" s="98"/>
      <c r="AH132" s="98"/>
      <c r="AI132" s="98"/>
      <c r="AJ132" s="98"/>
      <c r="AK132" s="98"/>
      <c r="AL132" s="98"/>
      <c r="AM132" s="98"/>
      <c r="AN132" s="98"/>
      <c r="AO132" s="98"/>
      <c r="AP132" s="98"/>
      <c r="AQ132" s="98"/>
      <c r="AR132" s="98"/>
      <c r="AS132" s="98"/>
      <c r="AT132" s="98"/>
      <c r="AU132" s="98"/>
      <c r="AV132" s="98"/>
      <c r="AW132" s="98"/>
      <c r="AX132" s="98"/>
      <c r="AY132" s="98"/>
      <c r="AZ132" s="98"/>
      <c r="BA132" s="98"/>
      <c r="BB132" s="98"/>
    </row>
    <row r="133" spans="4:54" ht="17.25" hidden="1" customHeight="1" x14ac:dyDescent="0.2">
      <c r="D133" s="130"/>
      <c r="E133" s="136"/>
      <c r="F133" s="136"/>
      <c r="G133" s="136"/>
      <c r="H133" s="134"/>
      <c r="I133" s="135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  <c r="AA133" s="98"/>
      <c r="AB133" s="98"/>
      <c r="AC133" s="98"/>
      <c r="AD133" s="98"/>
      <c r="AE133" s="98"/>
      <c r="AF133" s="98"/>
      <c r="AG133" s="98"/>
      <c r="AH133" s="98"/>
      <c r="AI133" s="98"/>
      <c r="AJ133" s="98"/>
      <c r="AK133" s="98"/>
      <c r="AL133" s="98"/>
      <c r="AM133" s="98"/>
      <c r="AN133" s="98"/>
      <c r="AO133" s="98"/>
      <c r="AP133" s="98"/>
      <c r="AQ133" s="98"/>
      <c r="AR133" s="98"/>
      <c r="AS133" s="98"/>
      <c r="AT133" s="98"/>
      <c r="AU133" s="98"/>
      <c r="AV133" s="98"/>
      <c r="AW133" s="98"/>
      <c r="AX133" s="98"/>
      <c r="AY133" s="98"/>
      <c r="AZ133" s="98"/>
      <c r="BA133" s="98"/>
      <c r="BB133" s="98"/>
    </row>
    <row r="134" spans="4:54" ht="17.25" hidden="1" customHeight="1" x14ac:dyDescent="0.2">
      <c r="D134" s="130" t="s">
        <v>140</v>
      </c>
      <c r="E134" s="136">
        <v>-186109282</v>
      </c>
      <c r="F134" s="136">
        <f>E151</f>
        <v>2089699676</v>
      </c>
      <c r="G134" s="136">
        <f>F134-E134</f>
        <v>2275808958</v>
      </c>
      <c r="H134" s="134"/>
      <c r="I134" s="135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  <c r="AA134" s="98"/>
      <c r="AB134" s="98"/>
      <c r="AC134" s="98"/>
      <c r="AD134" s="98"/>
      <c r="AE134" s="98"/>
      <c r="AF134" s="98"/>
      <c r="AG134" s="98"/>
      <c r="AH134" s="98"/>
      <c r="AI134" s="98"/>
      <c r="AJ134" s="98"/>
      <c r="AK134" s="98"/>
      <c r="AL134" s="98"/>
      <c r="AM134" s="98"/>
      <c r="AN134" s="98"/>
      <c r="AO134" s="98"/>
      <c r="AP134" s="98"/>
      <c r="AQ134" s="98"/>
      <c r="AR134" s="98"/>
      <c r="AS134" s="98"/>
      <c r="AT134" s="98"/>
      <c r="AU134" s="98"/>
      <c r="AV134" s="98"/>
      <c r="AW134" s="98"/>
      <c r="AX134" s="98"/>
      <c r="AY134" s="98"/>
      <c r="AZ134" s="98"/>
      <c r="BA134" s="98"/>
      <c r="BB134" s="98"/>
    </row>
    <row r="135" spans="4:54" ht="17.25" hidden="1" customHeight="1" x14ac:dyDescent="0.2">
      <c r="D135" s="130"/>
      <c r="E135" s="136"/>
      <c r="F135" s="136"/>
      <c r="G135" s="136"/>
      <c r="H135" s="134"/>
      <c r="I135" s="135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  <c r="AA135" s="98"/>
      <c r="AB135" s="98"/>
      <c r="AC135" s="98"/>
      <c r="AD135" s="98"/>
      <c r="AE135" s="98"/>
      <c r="AF135" s="98"/>
      <c r="AG135" s="98"/>
      <c r="AH135" s="98"/>
      <c r="AI135" s="98"/>
      <c r="AJ135" s="98"/>
      <c r="AK135" s="98"/>
      <c r="AL135" s="98"/>
      <c r="AM135" s="98"/>
      <c r="AN135" s="98"/>
      <c r="AO135" s="98"/>
      <c r="AP135" s="98"/>
      <c r="AQ135" s="98"/>
      <c r="AR135" s="98"/>
      <c r="AS135" s="98"/>
      <c r="AT135" s="98"/>
      <c r="AU135" s="98"/>
      <c r="AV135" s="98"/>
      <c r="AW135" s="98"/>
      <c r="AX135" s="98"/>
      <c r="AY135" s="98"/>
      <c r="AZ135" s="98"/>
      <c r="BA135" s="98"/>
      <c r="BB135" s="98"/>
    </row>
    <row r="136" spans="4:54" ht="17.25" hidden="1" customHeight="1" x14ac:dyDescent="0.2">
      <c r="D136" s="137"/>
      <c r="E136" s="137"/>
      <c r="F136" s="137"/>
      <c r="G136" s="137"/>
      <c r="H136" s="134"/>
      <c r="I136" s="135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  <c r="AA136" s="98"/>
      <c r="AB136" s="98"/>
      <c r="AC136" s="98"/>
      <c r="AD136" s="98"/>
      <c r="AE136" s="98"/>
      <c r="AF136" s="98"/>
      <c r="AG136" s="98"/>
      <c r="AH136" s="98"/>
      <c r="AI136" s="98"/>
      <c r="AJ136" s="98"/>
      <c r="AK136" s="98"/>
      <c r="AL136" s="98"/>
      <c r="AM136" s="98"/>
      <c r="AN136" s="98"/>
      <c r="AO136" s="98"/>
      <c r="AP136" s="98"/>
      <c r="AQ136" s="98"/>
      <c r="AR136" s="98"/>
      <c r="AS136" s="98"/>
      <c r="AT136" s="98"/>
      <c r="AU136" s="98"/>
      <c r="AV136" s="98"/>
      <c r="AW136" s="98"/>
      <c r="AX136" s="98"/>
      <c r="AY136" s="98"/>
      <c r="AZ136" s="98"/>
      <c r="BA136" s="98"/>
      <c r="BB136" s="98"/>
    </row>
    <row r="137" spans="4:54" ht="17.25" hidden="1" customHeight="1" x14ac:dyDescent="0.2">
      <c r="D137" s="137" t="s">
        <v>141</v>
      </c>
      <c r="E137" s="137"/>
      <c r="F137" s="137"/>
      <c r="G137" s="137"/>
      <c r="H137" s="134"/>
      <c r="I137" s="135"/>
      <c r="J137" s="98"/>
      <c r="K137" s="98"/>
      <c r="L137" s="98"/>
      <c r="M137" s="98"/>
      <c r="N137" s="98"/>
      <c r="O137" s="98"/>
      <c r="P137" s="98"/>
    </row>
    <row r="138" spans="4:54" ht="17.25" hidden="1" customHeight="1" x14ac:dyDescent="0.2">
      <c r="D138" s="138" t="s">
        <v>142</v>
      </c>
      <c r="E138" s="138">
        <f>E139+E140</f>
        <v>1033906569</v>
      </c>
      <c r="F138" s="137"/>
      <c r="G138" s="139" t="s">
        <v>143</v>
      </c>
      <c r="H138" s="140">
        <v>983467131</v>
      </c>
      <c r="I138" s="140"/>
      <c r="J138" s="98"/>
      <c r="K138" s="98"/>
      <c r="L138" s="98"/>
      <c r="M138" s="98"/>
      <c r="N138" s="98"/>
      <c r="O138" s="98"/>
      <c r="P138" s="98"/>
    </row>
    <row r="139" spans="4:54" ht="17.25" hidden="1" customHeight="1" x14ac:dyDescent="0.2">
      <c r="D139" s="141" t="s">
        <v>144</v>
      </c>
      <c r="E139" s="140">
        <v>939915063</v>
      </c>
      <c r="F139" s="142" t="s">
        <v>145</v>
      </c>
      <c r="G139" s="139" t="s">
        <v>146</v>
      </c>
      <c r="H139" s="140">
        <f>-H145</f>
        <v>-186109282</v>
      </c>
      <c r="I139" s="140" t="s">
        <v>147</v>
      </c>
      <c r="J139" s="98"/>
      <c r="K139" s="98"/>
      <c r="L139" s="98"/>
      <c r="M139" s="98"/>
      <c r="N139" s="98"/>
      <c r="O139" s="98"/>
      <c r="P139" s="98"/>
    </row>
    <row r="140" spans="4:54" ht="17.25" hidden="1" customHeight="1" x14ac:dyDescent="0.2">
      <c r="D140" s="141" t="s">
        <v>148</v>
      </c>
      <c r="E140" s="140">
        <v>93991506</v>
      </c>
      <c r="F140" s="142"/>
      <c r="G140" s="139" t="s">
        <v>149</v>
      </c>
      <c r="H140" s="140">
        <v>-682786900</v>
      </c>
      <c r="I140" s="140" t="s">
        <v>150</v>
      </c>
      <c r="J140" s="98"/>
      <c r="K140" s="98"/>
      <c r="L140" s="98"/>
      <c r="M140" s="98"/>
      <c r="N140" s="98"/>
      <c r="O140" s="98"/>
      <c r="P140" s="98"/>
    </row>
    <row r="141" spans="4:54" ht="17.25" hidden="1" customHeight="1" thickBot="1" x14ac:dyDescent="0.25">
      <c r="D141" s="138" t="s">
        <v>151</v>
      </c>
      <c r="E141" s="138">
        <v>442600</v>
      </c>
      <c r="F141" s="143"/>
      <c r="G141" s="139"/>
      <c r="H141" s="144">
        <f>SUM(H138:H140)</f>
        <v>114570949</v>
      </c>
      <c r="I141" s="140"/>
      <c r="J141" s="98"/>
      <c r="K141" s="98"/>
      <c r="L141" s="98"/>
      <c r="M141" s="98"/>
      <c r="N141" s="98"/>
      <c r="O141" s="98"/>
      <c r="P141" s="98"/>
    </row>
    <row r="142" spans="4:54" ht="17.25" hidden="1" customHeight="1" thickTop="1" x14ac:dyDescent="0.2">
      <c r="D142" s="145" t="s">
        <v>152</v>
      </c>
      <c r="E142" s="138">
        <f>E138-E141</f>
        <v>1033463969</v>
      </c>
      <c r="F142" s="140"/>
      <c r="G142" s="140"/>
      <c r="H142" s="98"/>
      <c r="I142" s="98"/>
      <c r="J142" s="98"/>
      <c r="K142" s="98"/>
      <c r="L142" s="98"/>
      <c r="M142" s="98"/>
      <c r="N142" s="98"/>
      <c r="O142" s="98"/>
      <c r="P142" s="98"/>
    </row>
    <row r="143" spans="4:54" ht="17.25" hidden="1" customHeight="1" x14ac:dyDescent="0.2">
      <c r="D143" s="145" t="s">
        <v>153</v>
      </c>
      <c r="E143" s="138">
        <f>H141</f>
        <v>114570949</v>
      </c>
      <c r="F143" s="18"/>
      <c r="G143" s="146" t="s">
        <v>154</v>
      </c>
      <c r="H143" s="147">
        <v>28282048</v>
      </c>
      <c r="I143" s="98"/>
      <c r="J143" s="98"/>
      <c r="K143" s="98"/>
      <c r="L143" s="98"/>
      <c r="M143" s="98"/>
      <c r="N143" s="98"/>
      <c r="O143" s="98"/>
      <c r="P143" s="98"/>
    </row>
    <row r="144" spans="4:54" ht="17.25" hidden="1" customHeight="1" thickBot="1" x14ac:dyDescent="0.25">
      <c r="D144" s="148" t="s">
        <v>155</v>
      </c>
      <c r="E144" s="149">
        <f>E142+E143</f>
        <v>1148034918</v>
      </c>
      <c r="F144" s="18"/>
      <c r="G144" s="146" t="s">
        <v>156</v>
      </c>
      <c r="H144" s="147">
        <v>157827234</v>
      </c>
      <c r="I144" s="98"/>
      <c r="J144" s="111"/>
      <c r="K144" s="111"/>
      <c r="L144" s="111"/>
      <c r="M144" s="98"/>
      <c r="N144" s="98"/>
      <c r="O144" s="98"/>
      <c r="P144" s="98"/>
    </row>
    <row r="145" spans="4:16" ht="17.25" hidden="1" customHeight="1" thickTop="1" thickBot="1" x14ac:dyDescent="0.25">
      <c r="D145" s="18"/>
      <c r="F145" s="18"/>
      <c r="G145" s="146"/>
      <c r="H145" s="150">
        <f>SUM(H143:H144)</f>
        <v>186109282</v>
      </c>
      <c r="I145" s="98"/>
      <c r="J145" s="111"/>
      <c r="K145" s="111"/>
      <c r="L145" s="111"/>
      <c r="M145" s="98"/>
      <c r="N145" s="98"/>
      <c r="O145" s="98"/>
      <c r="P145" s="98"/>
    </row>
    <row r="146" spans="4:16" ht="17.25" hidden="1" customHeight="1" thickTop="1" x14ac:dyDescent="0.2">
      <c r="D146" s="18" t="s">
        <v>157</v>
      </c>
      <c r="F146" s="18"/>
      <c r="G146" s="62"/>
      <c r="H146" s="98"/>
      <c r="I146" s="98"/>
      <c r="J146" s="111"/>
      <c r="K146" s="111"/>
      <c r="L146" s="111"/>
      <c r="M146" s="98"/>
      <c r="N146" s="98"/>
      <c r="O146" s="98"/>
      <c r="P146" s="98"/>
    </row>
    <row r="147" spans="4:16" ht="17.25" hidden="1" customHeight="1" x14ac:dyDescent="0.2">
      <c r="D147" s="140" t="s">
        <v>158</v>
      </c>
      <c r="E147" s="140">
        <f>E138</f>
        <v>1033906569</v>
      </c>
      <c r="F147" s="140"/>
      <c r="G147" s="140"/>
      <c r="H147" s="98"/>
      <c r="I147" s="98"/>
      <c r="J147" s="111"/>
      <c r="K147" s="111"/>
      <c r="L147" s="111"/>
      <c r="M147" s="100"/>
      <c r="N147" s="98"/>
      <c r="O147" s="98"/>
      <c r="P147" s="98"/>
    </row>
    <row r="148" spans="4:16" ht="17.25" hidden="1" customHeight="1" x14ac:dyDescent="0.2">
      <c r="D148" s="140" t="s">
        <v>159</v>
      </c>
      <c r="E148" s="140">
        <f>H139</f>
        <v>-186109282</v>
      </c>
      <c r="F148" s="140"/>
      <c r="G148" s="140"/>
      <c r="H148" s="98"/>
      <c r="I148" s="98"/>
      <c r="J148" s="111"/>
      <c r="K148" s="111"/>
      <c r="L148" s="111"/>
      <c r="M148" s="100"/>
      <c r="N148" s="98"/>
      <c r="O148" s="98"/>
      <c r="P148" s="98"/>
    </row>
    <row r="149" spans="4:16" ht="17.25" hidden="1" customHeight="1" x14ac:dyDescent="0.2">
      <c r="D149" s="140" t="s">
        <v>160</v>
      </c>
      <c r="E149" s="140">
        <f>F157</f>
        <v>-373353469</v>
      </c>
      <c r="F149" s="140"/>
      <c r="G149" s="140"/>
      <c r="H149" s="98"/>
      <c r="I149" s="98"/>
      <c r="J149" s="111"/>
      <c r="K149" s="111"/>
      <c r="L149" s="111"/>
      <c r="M149" s="100"/>
      <c r="N149" s="98"/>
      <c r="O149" s="98"/>
      <c r="P149" s="98"/>
    </row>
    <row r="150" spans="4:16" ht="17.25" hidden="1" customHeight="1" x14ac:dyDescent="0.2">
      <c r="D150" s="140" t="s">
        <v>161</v>
      </c>
      <c r="E150" s="140">
        <v>1615255858</v>
      </c>
      <c r="F150" s="140"/>
      <c r="G150" s="140"/>
      <c r="H150" s="98"/>
      <c r="I150" s="98"/>
      <c r="J150" s="111"/>
      <c r="K150" s="111"/>
      <c r="L150" s="111"/>
      <c r="M150" s="98"/>
      <c r="N150" s="98"/>
      <c r="O150" s="98"/>
      <c r="P150" s="98"/>
    </row>
    <row r="151" spans="4:16" ht="17.25" hidden="1" customHeight="1" thickBot="1" x14ac:dyDescent="0.25">
      <c r="D151" s="148" t="s">
        <v>162</v>
      </c>
      <c r="E151" s="149">
        <f>SUM(E147:E150)</f>
        <v>2089699676</v>
      </c>
      <c r="F151" s="140"/>
      <c r="G151" s="140"/>
      <c r="H151" s="98"/>
      <c r="I151" s="98"/>
      <c r="J151" s="98"/>
      <c r="K151" s="98"/>
      <c r="L151" s="98"/>
      <c r="M151" s="98"/>
      <c r="N151" s="98"/>
      <c r="O151" s="98"/>
      <c r="P151" s="98"/>
    </row>
    <row r="152" spans="4:16" ht="17.25" hidden="1" customHeight="1" thickTop="1" x14ac:dyDescent="0.2">
      <c r="D152" s="140"/>
      <c r="E152" s="140"/>
      <c r="F152" s="140"/>
      <c r="G152" s="140"/>
      <c r="H152" s="98"/>
      <c r="I152" s="98"/>
      <c r="J152" s="98"/>
      <c r="K152" s="98"/>
      <c r="L152" s="98"/>
      <c r="M152" s="98"/>
      <c r="N152" s="98"/>
      <c r="O152" s="98"/>
      <c r="P152" s="98"/>
    </row>
    <row r="153" spans="4:16" ht="17.25" hidden="1" customHeight="1" x14ac:dyDescent="0.2">
      <c r="D153" s="140"/>
      <c r="E153" s="140"/>
      <c r="F153" s="140"/>
      <c r="G153" s="140"/>
      <c r="H153" s="98"/>
      <c r="I153" s="98"/>
      <c r="J153" s="98"/>
      <c r="K153" s="98"/>
      <c r="L153" s="98"/>
      <c r="M153" s="98"/>
      <c r="N153" s="98"/>
      <c r="O153" s="98"/>
      <c r="P153" s="98"/>
    </row>
    <row r="154" spans="4:16" ht="17.25" hidden="1" customHeight="1" x14ac:dyDescent="0.2">
      <c r="D154" s="140" t="s">
        <v>163</v>
      </c>
      <c r="E154" s="140"/>
      <c r="F154" s="140"/>
      <c r="G154" s="140"/>
      <c r="H154" s="98"/>
      <c r="I154" s="98"/>
      <c r="J154" s="98"/>
      <c r="K154" s="98"/>
      <c r="L154" s="98"/>
      <c r="M154" s="98"/>
      <c r="N154" s="98"/>
      <c r="O154" s="98"/>
      <c r="P154" s="98"/>
    </row>
    <row r="155" spans="4:16" ht="17.25" hidden="1" customHeight="1" x14ac:dyDescent="0.2">
      <c r="D155" s="140" t="s">
        <v>164</v>
      </c>
      <c r="E155" s="140"/>
      <c r="F155" s="140">
        <v>0</v>
      </c>
      <c r="G155" s="140"/>
      <c r="H155" s="98"/>
      <c r="I155" s="98"/>
      <c r="J155" s="98"/>
      <c r="K155" s="98"/>
      <c r="L155" s="98"/>
      <c r="M155" s="98"/>
      <c r="N155" s="98"/>
      <c r="O155" s="98"/>
      <c r="P155" s="98"/>
    </row>
    <row r="156" spans="4:16" ht="17.25" hidden="1" customHeight="1" x14ac:dyDescent="0.2">
      <c r="D156" s="140" t="s">
        <v>165</v>
      </c>
      <c r="E156" s="140"/>
      <c r="F156" s="140">
        <v>-373353469</v>
      </c>
      <c r="G156" s="140"/>
      <c r="H156" s="98"/>
      <c r="I156" s="98"/>
      <c r="J156" s="98"/>
      <c r="K156" s="98"/>
      <c r="L156" s="98"/>
      <c r="M156" s="98"/>
      <c r="N156" s="98"/>
      <c r="O156" s="98"/>
      <c r="P156" s="98"/>
    </row>
    <row r="157" spans="4:16" ht="17.25" hidden="1" customHeight="1" thickBot="1" x14ac:dyDescent="0.25">
      <c r="D157" s="140" t="s">
        <v>166</v>
      </c>
      <c r="E157" s="140"/>
      <c r="F157" s="144">
        <f>SUM(F155:F156)</f>
        <v>-373353469</v>
      </c>
      <c r="G157" s="140"/>
      <c r="H157" s="98"/>
      <c r="I157" s="98"/>
      <c r="J157" s="98"/>
      <c r="K157" s="98"/>
      <c r="L157" s="98"/>
      <c r="M157" s="98"/>
      <c r="N157" s="98"/>
      <c r="O157" s="98"/>
      <c r="P157" s="98"/>
    </row>
    <row r="158" spans="4:16" ht="17.25" hidden="1" customHeight="1" thickTop="1" x14ac:dyDescent="0.2">
      <c r="D158" s="140"/>
      <c r="E158" s="151"/>
      <c r="F158" s="140"/>
      <c r="G158" s="140"/>
      <c r="H158" s="98"/>
      <c r="I158" s="98"/>
      <c r="J158" s="98"/>
      <c r="K158" s="98"/>
      <c r="L158" s="98"/>
      <c r="M158" s="98"/>
      <c r="N158" s="98"/>
      <c r="O158" s="98"/>
      <c r="P158" s="98"/>
    </row>
    <row r="159" spans="4:16" ht="17.25" hidden="1" customHeight="1" x14ac:dyDescent="0.2">
      <c r="G159" s="140"/>
      <c r="H159" s="98"/>
      <c r="I159" s="98"/>
      <c r="J159" s="98"/>
      <c r="K159" s="98"/>
      <c r="L159" s="98"/>
      <c r="M159" s="98"/>
      <c r="N159" s="98"/>
      <c r="O159" s="98"/>
      <c r="P159" s="98"/>
    </row>
    <row r="160" spans="4:16" s="132" customFormat="1" ht="17.25" hidden="1" customHeight="1" x14ac:dyDescent="0.2"/>
    <row r="161" s="132" customFormat="1" ht="17.25" customHeight="1" x14ac:dyDescent="0.2"/>
    <row r="162" s="132" customFormat="1" ht="17.25" customHeight="1" x14ac:dyDescent="0.2"/>
    <row r="163" s="132" customFormat="1" ht="17.25" customHeight="1" x14ac:dyDescent="0.2"/>
    <row r="164" s="132" customFormat="1" ht="17.25" customHeight="1" x14ac:dyDescent="0.2"/>
    <row r="165" s="132" customFormat="1" ht="17.25" customHeight="1" x14ac:dyDescent="0.2"/>
    <row r="166" s="132" customFormat="1" ht="17.25" customHeight="1" x14ac:dyDescent="0.2"/>
    <row r="167" s="132" customFormat="1" ht="17.25" customHeight="1" x14ac:dyDescent="0.2"/>
    <row r="168" s="132" customFormat="1" ht="17.25" customHeight="1" x14ac:dyDescent="0.2"/>
  </sheetData>
  <mergeCells count="11">
    <mergeCell ref="D117:E117"/>
    <mergeCell ref="F117:G117"/>
    <mergeCell ref="A1:G1"/>
    <mergeCell ref="A2:G2"/>
    <mergeCell ref="A3:G3"/>
    <mergeCell ref="A4:G4"/>
    <mergeCell ref="A7:B8"/>
    <mergeCell ref="D7:E7"/>
    <mergeCell ref="F7:G7"/>
    <mergeCell ref="D8:E8"/>
    <mergeCell ref="F8:G8"/>
  </mergeCells>
  <phoneticPr fontId="4" type="noConversion"/>
  <printOptions horizontalCentered="1"/>
  <pageMargins left="0.31496062992125984" right="0.31496062992125984" top="0.39370078740157483" bottom="0.19685039370078741" header="0.31496062992125984" footer="0.31496062992125984"/>
  <pageSetup paperSize="9" scale="77" orientation="portrait" r:id="rId1"/>
  <rowBreaks count="1" manualBreakCount="1">
    <brk id="60" max="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B9A70-8813-41C9-A4FC-0C6CEF2065D5}">
  <dimension ref="A1:P110"/>
  <sheetViews>
    <sheetView showGridLines="0" tabSelected="1" view="pageBreakPreview" zoomScaleNormal="100" zoomScaleSheetLayoutView="100" workbookViewId="0">
      <selection activeCell="G33" sqref="G33"/>
    </sheetView>
  </sheetViews>
  <sheetFormatPr defaultColWidth="9" defaultRowHeight="12" x14ac:dyDescent="0.2"/>
  <cols>
    <col min="1" max="1" width="2.85546875" style="155" customWidth="1"/>
    <col min="2" max="2" width="3.140625" style="155" customWidth="1"/>
    <col min="3" max="3" width="3.85546875" style="155" customWidth="1"/>
    <col min="4" max="4" width="13.42578125" style="155" customWidth="1"/>
    <col min="5" max="5" width="11.140625" style="155" customWidth="1"/>
    <col min="6" max="6" width="1.28515625" style="155" customWidth="1"/>
    <col min="7" max="10" width="18.7109375" style="155" customWidth="1"/>
    <col min="11" max="11" width="3.28515625" style="155" customWidth="1"/>
    <col min="12" max="12" width="15" style="155" bestFit="1" customWidth="1"/>
    <col min="13" max="13" width="12.28515625" style="155" bestFit="1" customWidth="1"/>
    <col min="14" max="15" width="9" style="155"/>
    <col min="16" max="16" width="12.28515625" style="155" bestFit="1" customWidth="1"/>
    <col min="17" max="16384" width="9" style="155"/>
  </cols>
  <sheetData>
    <row r="1" spans="1:10" ht="31.5" x14ac:dyDescent="0.2">
      <c r="A1" s="152" t="s">
        <v>167</v>
      </c>
      <c r="B1" s="153"/>
      <c r="C1" s="153"/>
      <c r="D1" s="153"/>
      <c r="E1" s="153"/>
      <c r="F1" s="153"/>
      <c r="G1" s="154"/>
      <c r="H1" s="153"/>
      <c r="I1" s="153"/>
      <c r="J1" s="153"/>
    </row>
    <row r="2" spans="1:10" ht="20.25" x14ac:dyDescent="0.2">
      <c r="A2" s="156" t="s">
        <v>168</v>
      </c>
      <c r="B2" s="156"/>
      <c r="C2" s="156"/>
      <c r="D2" s="156"/>
      <c r="E2" s="156"/>
      <c r="F2" s="156"/>
      <c r="G2" s="156"/>
      <c r="H2" s="156"/>
      <c r="I2" s="156"/>
      <c r="J2" s="156"/>
    </row>
    <row r="3" spans="1:10" ht="13.5" x14ac:dyDescent="0.2">
      <c r="A3" s="157" t="s">
        <v>169</v>
      </c>
      <c r="B3" s="157"/>
      <c r="C3" s="157"/>
      <c r="D3" s="157"/>
      <c r="E3" s="157"/>
      <c r="F3" s="157"/>
      <c r="G3" s="157"/>
      <c r="H3" s="157"/>
      <c r="I3" s="157"/>
      <c r="J3" s="157"/>
    </row>
    <row r="4" spans="1:10" ht="13.5" x14ac:dyDescent="0.2">
      <c r="A4" s="157" t="s">
        <v>170</v>
      </c>
      <c r="B4" s="157"/>
      <c r="C4" s="157"/>
      <c r="D4" s="157"/>
      <c r="E4" s="157"/>
      <c r="F4" s="157"/>
      <c r="G4" s="157"/>
      <c r="H4" s="157"/>
      <c r="I4" s="157"/>
      <c r="J4" s="157"/>
    </row>
    <row r="5" spans="1:10" ht="13.5" x14ac:dyDescent="0.2">
      <c r="A5" s="158"/>
      <c r="B5" s="158"/>
      <c r="C5" s="158"/>
      <c r="D5" s="158"/>
      <c r="E5" s="158"/>
      <c r="F5" s="158"/>
      <c r="G5" s="159"/>
      <c r="H5" s="160"/>
      <c r="I5" s="161"/>
      <c r="J5" s="160"/>
    </row>
    <row r="6" spans="1:10" ht="14.25" thickBot="1" x14ac:dyDescent="0.25">
      <c r="A6" s="162" t="s">
        <v>4</v>
      </c>
      <c r="B6" s="163"/>
      <c r="C6" s="163"/>
      <c r="D6" s="163"/>
      <c r="E6" s="164"/>
      <c r="F6" s="165"/>
      <c r="G6" s="166"/>
      <c r="H6" s="167"/>
      <c r="I6" s="168"/>
      <c r="J6" s="169" t="s">
        <v>171</v>
      </c>
    </row>
    <row r="7" spans="1:10" ht="13.5" x14ac:dyDescent="0.2">
      <c r="A7" s="170" t="s">
        <v>172</v>
      </c>
      <c r="B7" s="171"/>
      <c r="C7" s="171"/>
      <c r="D7" s="171"/>
      <c r="E7" s="171"/>
      <c r="F7" s="172"/>
      <c r="G7" s="173" t="s">
        <v>7</v>
      </c>
      <c r="H7" s="174"/>
      <c r="I7" s="173" t="s">
        <v>8</v>
      </c>
      <c r="J7" s="174"/>
    </row>
    <row r="8" spans="1:10" ht="14.25" thickBot="1" x14ac:dyDescent="0.25">
      <c r="A8" s="175"/>
      <c r="B8" s="176"/>
      <c r="C8" s="176"/>
      <c r="D8" s="176"/>
      <c r="E8" s="176"/>
      <c r="F8" s="177"/>
      <c r="G8" s="178" t="s">
        <v>9</v>
      </c>
      <c r="H8" s="179"/>
      <c r="I8" s="178" t="s">
        <v>9</v>
      </c>
      <c r="J8" s="179"/>
    </row>
    <row r="9" spans="1:10" ht="13.5" x14ac:dyDescent="0.2">
      <c r="A9" s="180"/>
      <c r="B9" s="181"/>
      <c r="C9" s="181"/>
      <c r="D9" s="181"/>
      <c r="E9" s="181"/>
      <c r="F9" s="182"/>
      <c r="G9" s="183"/>
      <c r="H9" s="184"/>
      <c r="I9" s="185"/>
      <c r="J9" s="184"/>
    </row>
    <row r="10" spans="1:10" ht="13.5" customHeight="1" x14ac:dyDescent="0.2">
      <c r="A10" s="186" t="s">
        <v>11</v>
      </c>
      <c r="B10" s="187" t="s">
        <v>173</v>
      </c>
      <c r="C10" s="188"/>
      <c r="D10" s="188"/>
      <c r="E10" s="188"/>
      <c r="F10" s="189"/>
      <c r="G10" s="190"/>
      <c r="H10" s="191">
        <f>H11+H18+H24+H32</f>
        <v>6934303474.6999998</v>
      </c>
      <c r="I10" s="192"/>
      <c r="J10" s="191">
        <v>19997147608</v>
      </c>
    </row>
    <row r="11" spans="1:10" ht="13.5" customHeight="1" x14ac:dyDescent="0.2">
      <c r="A11" s="193"/>
      <c r="B11" s="194" t="s">
        <v>174</v>
      </c>
      <c r="C11" s="195" t="s">
        <v>175</v>
      </c>
      <c r="D11" s="195"/>
      <c r="E11" s="195"/>
      <c r="F11" s="196"/>
      <c r="G11" s="190"/>
      <c r="H11" s="197">
        <f>SUM(G12:G16)</f>
        <v>0</v>
      </c>
      <c r="I11" s="192"/>
      <c r="J11" s="197">
        <v>0</v>
      </c>
    </row>
    <row r="12" spans="1:10" ht="13.5" customHeight="1" x14ac:dyDescent="0.2">
      <c r="A12" s="198"/>
      <c r="B12" s="194"/>
      <c r="C12" s="199" t="s">
        <v>15</v>
      </c>
      <c r="D12" s="195" t="s">
        <v>176</v>
      </c>
      <c r="E12" s="195"/>
      <c r="F12" s="196"/>
      <c r="G12" s="190" t="str">
        <f>IFERROR(VLOOKUP(D12,'[1]4. 계정별요약명세서(PL)'!$A$6:$D$65,4,FALSE),"")</f>
        <v/>
      </c>
      <c r="H12" s="197"/>
      <c r="I12" s="200" t="s">
        <v>25</v>
      </c>
      <c r="J12" s="197"/>
    </row>
    <row r="13" spans="1:10" ht="13.5" customHeight="1" x14ac:dyDescent="0.2">
      <c r="A13" s="198"/>
      <c r="B13" s="194"/>
      <c r="C13" s="199" t="s">
        <v>17</v>
      </c>
      <c r="D13" s="195" t="s">
        <v>177</v>
      </c>
      <c r="E13" s="195"/>
      <c r="F13" s="196"/>
      <c r="G13" s="190" t="str">
        <f>IFERROR(VLOOKUP(D13,'[1]4. 계정별요약명세서(PL)'!$A$6:$D$65,4,FALSE),"")</f>
        <v/>
      </c>
      <c r="H13" s="197"/>
      <c r="I13" s="201" t="s">
        <v>25</v>
      </c>
      <c r="J13" s="197"/>
    </row>
    <row r="14" spans="1:10" ht="13.5" customHeight="1" x14ac:dyDescent="0.2">
      <c r="A14" s="198"/>
      <c r="B14" s="194"/>
      <c r="C14" s="199" t="s">
        <v>19</v>
      </c>
      <c r="D14" s="195" t="s">
        <v>178</v>
      </c>
      <c r="E14" s="195"/>
      <c r="F14" s="196"/>
      <c r="G14" s="66" t="str">
        <f>IFERROR(VLOOKUP(D14,'[1]4. 계정별요약명세서(PL)'!$A$6:$D$65,4,FALSE),"")</f>
        <v/>
      </c>
      <c r="H14" s="197"/>
      <c r="I14" s="200" t="s">
        <v>25</v>
      </c>
      <c r="J14" s="197"/>
    </row>
    <row r="15" spans="1:10" ht="13.5" customHeight="1" x14ac:dyDescent="0.2">
      <c r="A15" s="198"/>
      <c r="B15" s="194"/>
      <c r="C15" s="199" t="s">
        <v>96</v>
      </c>
      <c r="D15" s="195" t="s">
        <v>179</v>
      </c>
      <c r="E15" s="195"/>
      <c r="F15" s="196"/>
      <c r="G15" s="66" t="str">
        <f>IFERROR(VLOOKUP(D15,'[1]4. 계정별요약명세서(PL)'!$A$6:$D$65,4,FALSE),"")</f>
        <v/>
      </c>
      <c r="H15" s="197"/>
      <c r="I15" s="200" t="s">
        <v>25</v>
      </c>
      <c r="J15" s="197"/>
    </row>
    <row r="16" spans="1:10" ht="13.5" customHeight="1" x14ac:dyDescent="0.2">
      <c r="A16" s="198"/>
      <c r="B16" s="194"/>
      <c r="C16" s="199" t="s">
        <v>180</v>
      </c>
      <c r="D16" s="195" t="s">
        <v>181</v>
      </c>
      <c r="E16" s="195"/>
      <c r="F16" s="196"/>
      <c r="G16" s="66">
        <f>IFERROR(VLOOKUP(D16,'[1]4. 계정별요약명세서(PL)'!$A$6:$D$65,4,FALSE),"")</f>
        <v>0</v>
      </c>
      <c r="H16" s="197"/>
      <c r="I16" s="200">
        <v>0</v>
      </c>
      <c r="J16" s="197"/>
    </row>
    <row r="17" spans="1:16" ht="13.5" x14ac:dyDescent="0.2">
      <c r="A17" s="198"/>
      <c r="B17" s="194"/>
      <c r="C17" s="199"/>
      <c r="D17" s="202"/>
      <c r="E17" s="202"/>
      <c r="F17" s="196"/>
      <c r="G17" s="66"/>
      <c r="H17" s="197"/>
      <c r="I17" s="201"/>
      <c r="J17" s="197"/>
    </row>
    <row r="18" spans="1:16" ht="13.5" customHeight="1" x14ac:dyDescent="0.2">
      <c r="A18" s="198"/>
      <c r="B18" s="194" t="s">
        <v>37</v>
      </c>
      <c r="C18" s="195" t="s">
        <v>182</v>
      </c>
      <c r="D18" s="195"/>
      <c r="E18" s="195"/>
      <c r="F18" s="196"/>
      <c r="G18" s="67" t="str">
        <f>IFERROR(VLOOKUP(D18,'[1]4. 계정별요약명세서(PL)'!$A$6:$D$49,4,FALSE),"")</f>
        <v/>
      </c>
      <c r="H18" s="197">
        <f>SUM(G19:G22)</f>
        <v>6870501166.6999998</v>
      </c>
      <c r="I18" s="201" t="s">
        <v>25</v>
      </c>
      <c r="J18" s="197">
        <v>19438931720</v>
      </c>
    </row>
    <row r="19" spans="1:16" ht="13.5" customHeight="1" x14ac:dyDescent="0.2">
      <c r="A19" s="198"/>
      <c r="B19" s="194"/>
      <c r="C19" s="199" t="s">
        <v>15</v>
      </c>
      <c r="D19" s="195" t="s">
        <v>183</v>
      </c>
      <c r="E19" s="195"/>
      <c r="F19" s="196"/>
      <c r="G19" s="66">
        <f>INT(IFERROR(VLOOKUP(D19,'[1]4. 계정별요약명세서(PL)'!$A$6:$D$65,4,FALSE),""))</f>
        <v>2011416510</v>
      </c>
      <c r="H19" s="197"/>
      <c r="I19" s="190">
        <v>8905516364</v>
      </c>
      <c r="J19" s="197"/>
      <c r="M19" s="203"/>
      <c r="P19" s="203"/>
    </row>
    <row r="20" spans="1:16" ht="13.5" customHeight="1" x14ac:dyDescent="0.2">
      <c r="A20" s="198"/>
      <c r="B20" s="194"/>
      <c r="C20" s="199" t="s">
        <v>54</v>
      </c>
      <c r="D20" s="195" t="s">
        <v>184</v>
      </c>
      <c r="E20" s="195"/>
      <c r="F20" s="196"/>
      <c r="G20" s="67">
        <f>IFERROR(VLOOKUP(D20,'[1]4. 계정별요약명세서(PL)'!$A$6:$D$65,4,FALSE),"")</f>
        <v>295832655</v>
      </c>
      <c r="H20" s="197"/>
      <c r="I20" s="190">
        <v>5394300259</v>
      </c>
      <c r="J20" s="197"/>
    </row>
    <row r="21" spans="1:16" ht="13.5" customHeight="1" x14ac:dyDescent="0.2">
      <c r="A21" s="198"/>
      <c r="B21" s="194"/>
      <c r="C21" s="199" t="s">
        <v>19</v>
      </c>
      <c r="D21" s="195" t="s">
        <v>185</v>
      </c>
      <c r="E21" s="195"/>
      <c r="F21" s="196"/>
      <c r="G21" s="67">
        <f>IFERROR(VLOOKUP(D21,'[1]4. 계정별요약명세서(PL)'!$A$6:$D$65,4,FALSE),"")</f>
        <v>6800594</v>
      </c>
      <c r="H21" s="197"/>
      <c r="I21" s="190">
        <v>737</v>
      </c>
      <c r="J21" s="197"/>
      <c r="L21" s="203"/>
      <c r="M21" s="203"/>
    </row>
    <row r="22" spans="1:16" ht="13.5" customHeight="1" x14ac:dyDescent="0.2">
      <c r="A22" s="198"/>
      <c r="B22" s="194"/>
      <c r="C22" s="199" t="s">
        <v>21</v>
      </c>
      <c r="D22" s="195" t="s">
        <v>186</v>
      </c>
      <c r="E22" s="195"/>
      <c r="F22" s="196"/>
      <c r="G22" s="67">
        <f>IFERROR(VLOOKUP(D22,'[1]4. 계정별요약명세서(PL)'!$A$6:$D$65,4,FALSE),"")</f>
        <v>4556451407.6999998</v>
      </c>
      <c r="H22" s="197"/>
      <c r="I22" s="190">
        <v>5139114360</v>
      </c>
      <c r="J22" s="197"/>
      <c r="L22" s="204"/>
    </row>
    <row r="23" spans="1:16" ht="13.5" x14ac:dyDescent="0.2">
      <c r="A23" s="198"/>
      <c r="B23" s="194"/>
      <c r="C23" s="199"/>
      <c r="D23" s="202"/>
      <c r="E23" s="202"/>
      <c r="F23" s="196"/>
      <c r="G23" s="67" t="str">
        <f>IFERROR(VLOOKUP(D23,'[1]4. 계정별요약명세서(PL)'!$A$6:$D$49,4,FALSE),"")</f>
        <v/>
      </c>
      <c r="H23" s="197"/>
      <c r="I23" s="190" t="s">
        <v>25</v>
      </c>
      <c r="J23" s="197"/>
      <c r="L23" s="203"/>
      <c r="M23" s="203"/>
    </row>
    <row r="24" spans="1:16" ht="13.5" customHeight="1" x14ac:dyDescent="0.2">
      <c r="A24" s="198"/>
      <c r="B24" s="194" t="s">
        <v>60</v>
      </c>
      <c r="C24" s="195" t="s">
        <v>187</v>
      </c>
      <c r="D24" s="195"/>
      <c r="E24" s="195"/>
      <c r="F24" s="196"/>
      <c r="G24" s="67" t="str">
        <f>IFERROR(VLOOKUP(D24,'[1]4. 계정별요약명세서(PL)'!$A$6:$D$49,4,FALSE),"")</f>
        <v/>
      </c>
      <c r="H24" s="197">
        <f>SUM(G25:G30)</f>
        <v>0</v>
      </c>
      <c r="I24" s="190" t="s">
        <v>25</v>
      </c>
      <c r="J24" s="197">
        <v>31615</v>
      </c>
      <c r="M24" s="203"/>
    </row>
    <row r="25" spans="1:16" ht="13.5" customHeight="1" x14ac:dyDescent="0.2">
      <c r="A25" s="198"/>
      <c r="B25" s="194"/>
      <c r="C25" s="199" t="s">
        <v>15</v>
      </c>
      <c r="D25" s="205" t="s">
        <v>188</v>
      </c>
      <c r="E25" s="205"/>
      <c r="F25" s="196"/>
      <c r="G25" s="67">
        <f>IFERROR(VLOOKUP(D25,'[1]4. 계정별요약명세서(PL)'!$A$6:$D$65,4,FALSE),"")</f>
        <v>0</v>
      </c>
      <c r="H25" s="197"/>
      <c r="I25" s="190">
        <v>317</v>
      </c>
      <c r="J25" s="197"/>
    </row>
    <row r="26" spans="1:16" ht="13.5" customHeight="1" x14ac:dyDescent="0.2">
      <c r="A26" s="198"/>
      <c r="B26" s="194"/>
      <c r="C26" s="199" t="s">
        <v>35</v>
      </c>
      <c r="D26" s="195" t="s">
        <v>189</v>
      </c>
      <c r="E26" s="195"/>
      <c r="F26" s="196"/>
      <c r="G26" s="67" t="str">
        <f>IFERROR(VLOOKUP(D26,'[1]4. 계정별요약명세서(PL)'!$A$6:$D$65,4,FALSE),"")</f>
        <v/>
      </c>
      <c r="H26" s="197"/>
      <c r="I26" s="206" t="s">
        <v>25</v>
      </c>
      <c r="J26" s="197"/>
    </row>
    <row r="27" spans="1:16" ht="13.5" customHeight="1" x14ac:dyDescent="0.2">
      <c r="A27" s="198"/>
      <c r="B27" s="194"/>
      <c r="C27" s="199" t="s">
        <v>19</v>
      </c>
      <c r="D27" s="205" t="s">
        <v>190</v>
      </c>
      <c r="E27" s="205"/>
      <c r="F27" s="196"/>
      <c r="G27" s="67">
        <f>IFERROR(VLOOKUP(D27,'[1]4. 계정별요약명세서(PL)'!$A$6:$D$65,4,FALSE),"")</f>
        <v>0</v>
      </c>
      <c r="H27" s="197"/>
      <c r="I27" s="190">
        <v>31298</v>
      </c>
      <c r="J27" s="197"/>
    </row>
    <row r="28" spans="1:16" ht="13.5" customHeight="1" x14ac:dyDescent="0.2">
      <c r="A28" s="198"/>
      <c r="B28" s="194"/>
      <c r="C28" s="199" t="s">
        <v>78</v>
      </c>
      <c r="D28" s="195" t="s">
        <v>191</v>
      </c>
      <c r="E28" s="195"/>
      <c r="F28" s="196"/>
      <c r="G28" s="67" t="str">
        <f>IFERROR(VLOOKUP(D28,'[1]4. 계정별요약명세서(PL)'!$A$6:$D$65,4,FALSE),"")</f>
        <v/>
      </c>
      <c r="H28" s="197"/>
      <c r="I28" s="190" t="s">
        <v>25</v>
      </c>
      <c r="J28" s="197"/>
    </row>
    <row r="29" spans="1:16" ht="13.5" customHeight="1" x14ac:dyDescent="0.2">
      <c r="A29" s="198"/>
      <c r="B29" s="194"/>
      <c r="C29" s="199" t="s">
        <v>80</v>
      </c>
      <c r="D29" s="205" t="s">
        <v>192</v>
      </c>
      <c r="E29" s="205"/>
      <c r="F29" s="196"/>
      <c r="G29" s="67" t="str">
        <f>IFERROR(VLOOKUP(D29,'[1]4. 계정별요약명세서(PL)'!$A$6:$D$65,4,FALSE),"")</f>
        <v/>
      </c>
      <c r="H29" s="197"/>
      <c r="I29" s="190" t="s">
        <v>25</v>
      </c>
      <c r="J29" s="197"/>
    </row>
    <row r="30" spans="1:16" ht="13.5" customHeight="1" x14ac:dyDescent="0.2">
      <c r="A30" s="198"/>
      <c r="B30" s="194"/>
      <c r="C30" s="199" t="s">
        <v>82</v>
      </c>
      <c r="D30" s="195" t="s">
        <v>193</v>
      </c>
      <c r="E30" s="195"/>
      <c r="F30" s="196"/>
      <c r="G30" s="67" t="str">
        <f>IFERROR(VLOOKUP(D30,'[1]4. 계정별요약명세서(PL)'!$A$6:$D$65,4,FALSE),"")</f>
        <v/>
      </c>
      <c r="H30" s="197"/>
      <c r="I30" s="190" t="s">
        <v>25</v>
      </c>
      <c r="J30" s="197"/>
    </row>
    <row r="31" spans="1:16" ht="13.5" x14ac:dyDescent="0.2">
      <c r="A31" s="207"/>
      <c r="B31" s="196"/>
      <c r="C31" s="199"/>
      <c r="D31" s="202"/>
      <c r="E31" s="202"/>
      <c r="F31" s="196"/>
      <c r="G31" s="67" t="str">
        <f>IFERROR(VLOOKUP(D31,'[1]4. 계정별요약명세서(PL)'!$A$6:$D$49,4,FALSE),"")</f>
        <v/>
      </c>
      <c r="H31" s="197"/>
      <c r="I31" s="190" t="s">
        <v>25</v>
      </c>
      <c r="J31" s="197"/>
    </row>
    <row r="32" spans="1:16" ht="13.5" customHeight="1" x14ac:dyDescent="0.2">
      <c r="A32" s="198"/>
      <c r="B32" s="194" t="s">
        <v>194</v>
      </c>
      <c r="C32" s="195" t="s">
        <v>195</v>
      </c>
      <c r="D32" s="195"/>
      <c r="E32" s="195"/>
      <c r="F32" s="196"/>
      <c r="G32" s="67" t="str">
        <f>IFERROR(VLOOKUP(D32,'[1]4. 계정별요약명세서(PL)'!$A$6:$D$49,4,FALSE),"")</f>
        <v/>
      </c>
      <c r="H32" s="197">
        <f>SUM(G33:G38)</f>
        <v>63802308</v>
      </c>
      <c r="I32" s="190" t="s">
        <v>25</v>
      </c>
      <c r="J32" s="197">
        <v>558184273</v>
      </c>
    </row>
    <row r="33" spans="1:13" ht="13.5" x14ac:dyDescent="0.2">
      <c r="A33" s="198"/>
      <c r="B33" s="194"/>
      <c r="C33" s="199" t="s">
        <v>15</v>
      </c>
      <c r="D33" s="195" t="s">
        <v>196</v>
      </c>
      <c r="E33" s="195"/>
      <c r="F33" s="196"/>
      <c r="G33" s="67">
        <f>IFERROR(VLOOKUP(D33,'[1]4. 계정별요약명세서(PL)'!$A$6:$D$65,4,FALSE),"")</f>
        <v>63802308</v>
      </c>
      <c r="H33" s="197"/>
      <c r="I33" s="190">
        <v>464167052</v>
      </c>
      <c r="J33" s="197"/>
    </row>
    <row r="34" spans="1:13" ht="13.5" customHeight="1" x14ac:dyDescent="0.2">
      <c r="A34" s="198"/>
      <c r="B34" s="194"/>
      <c r="C34" s="199" t="s">
        <v>17</v>
      </c>
      <c r="D34" s="205" t="s">
        <v>197</v>
      </c>
      <c r="E34" s="205"/>
      <c r="F34" s="196"/>
      <c r="G34" s="67" t="str">
        <f>IFERROR(VLOOKUP(D34,'[1]4. 계정별요약명세서(PL)'!$A$6:$D$65,4,FALSE),"")</f>
        <v/>
      </c>
      <c r="H34" s="197"/>
      <c r="I34" s="190" t="s">
        <v>25</v>
      </c>
      <c r="J34" s="197"/>
    </row>
    <row r="35" spans="1:13" ht="13.5" customHeight="1" x14ac:dyDescent="0.2">
      <c r="A35" s="198"/>
      <c r="B35" s="194"/>
      <c r="C35" s="199" t="s">
        <v>19</v>
      </c>
      <c r="D35" s="205" t="s">
        <v>198</v>
      </c>
      <c r="E35" s="205"/>
      <c r="F35" s="196"/>
      <c r="G35" s="67" t="str">
        <f>IFERROR(VLOOKUP(D35,'[1]4. 계정별요약명세서(PL)'!$A$6:$D$65,4,FALSE),"")</f>
        <v/>
      </c>
      <c r="H35" s="197"/>
      <c r="I35" s="190" t="s">
        <v>25</v>
      </c>
      <c r="J35" s="197"/>
    </row>
    <row r="36" spans="1:13" ht="13.5" customHeight="1" x14ac:dyDescent="0.2">
      <c r="A36" s="198"/>
      <c r="B36" s="194"/>
      <c r="C36" s="199" t="s">
        <v>21</v>
      </c>
      <c r="D36" s="205" t="s">
        <v>199</v>
      </c>
      <c r="E36" s="205"/>
      <c r="F36" s="196"/>
      <c r="G36" s="67">
        <f>IFERROR(VLOOKUP(D36,'[1]4. 계정별요약명세서(PL)'!$A$6:$D$65,4,FALSE),"")</f>
        <v>0</v>
      </c>
      <c r="H36" s="197"/>
      <c r="I36" s="190">
        <v>0</v>
      </c>
      <c r="J36" s="197"/>
    </row>
    <row r="37" spans="1:13" ht="13.5" customHeight="1" x14ac:dyDescent="0.2">
      <c r="A37" s="198"/>
      <c r="B37" s="194"/>
      <c r="C37" s="199" t="s">
        <v>80</v>
      </c>
      <c r="D37" s="195" t="s">
        <v>200</v>
      </c>
      <c r="E37" s="195"/>
      <c r="F37" s="196"/>
      <c r="G37" s="67" t="str">
        <f>IFERROR(VLOOKUP(D37,'[1]4. 계정별요약명세서(PL)'!$A$6:$D$65,4,FALSE),"")</f>
        <v/>
      </c>
      <c r="H37" s="197"/>
      <c r="I37" s="190" t="s">
        <v>25</v>
      </c>
      <c r="J37" s="197"/>
    </row>
    <row r="38" spans="1:13" ht="13.5" customHeight="1" x14ac:dyDescent="0.2">
      <c r="A38" s="198"/>
      <c r="B38" s="194"/>
      <c r="C38" s="199">
        <v>6</v>
      </c>
      <c r="D38" s="195" t="s">
        <v>201</v>
      </c>
      <c r="E38" s="195"/>
      <c r="F38" s="196"/>
      <c r="G38" s="67">
        <f>IFERROR(VLOOKUP(D38,'[1]4. 계정별요약명세서(PL)'!$A$6:$D$65,4,FALSE),"")</f>
        <v>0</v>
      </c>
      <c r="H38" s="197"/>
      <c r="I38" s="190">
        <v>94017221</v>
      </c>
      <c r="J38" s="197"/>
    </row>
    <row r="39" spans="1:13" ht="13.5" x14ac:dyDescent="0.2">
      <c r="A39" s="198"/>
      <c r="B39" s="194"/>
      <c r="C39" s="199"/>
      <c r="D39" s="202"/>
      <c r="E39" s="202"/>
      <c r="F39" s="196"/>
      <c r="G39" s="67" t="str">
        <f>IFERROR(VLOOKUP(D39,'[1]4. 계정별요약명세서(PL)'!$A$6:$D$49,4,FALSE),"")</f>
        <v/>
      </c>
      <c r="H39" s="197"/>
      <c r="I39" s="190" t="s">
        <v>25</v>
      </c>
      <c r="J39" s="197"/>
    </row>
    <row r="40" spans="1:13" ht="13.5" customHeight="1" x14ac:dyDescent="0.2">
      <c r="A40" s="208" t="s">
        <v>31</v>
      </c>
      <c r="B40" s="209" t="s">
        <v>202</v>
      </c>
      <c r="C40" s="195"/>
      <c r="D40" s="195"/>
      <c r="E40" s="195"/>
      <c r="F40" s="196"/>
      <c r="G40" s="67" t="str">
        <f>IFERROR(VLOOKUP(D40,'[1]4. 계정별요약명세서(PL)'!$A$6:$D$49,4,FALSE),"")</f>
        <v/>
      </c>
      <c r="H40" s="210">
        <f>H41+H58</f>
        <v>2367342210</v>
      </c>
      <c r="I40" s="190" t="s">
        <v>25</v>
      </c>
      <c r="J40" s="210">
        <v>13272208439</v>
      </c>
    </row>
    <row r="41" spans="1:13" ht="13.5" customHeight="1" x14ac:dyDescent="0.2">
      <c r="A41" s="198"/>
      <c r="B41" s="194" t="s">
        <v>174</v>
      </c>
      <c r="C41" s="211" t="s">
        <v>203</v>
      </c>
      <c r="D41" s="195"/>
      <c r="E41" s="195"/>
      <c r="F41" s="196"/>
      <c r="G41" s="67" t="str">
        <f>IFERROR(VLOOKUP(D41,'[1]4. 계정별요약명세서(PL)'!$A$6:$D$65,4,FALSE),"")</f>
        <v/>
      </c>
      <c r="H41" s="197">
        <f>SUM(G42:G56)</f>
        <v>486546321</v>
      </c>
      <c r="I41" s="190" t="s">
        <v>25</v>
      </c>
      <c r="J41" s="197">
        <v>3378480480</v>
      </c>
    </row>
    <row r="42" spans="1:13" ht="13.5" customHeight="1" x14ac:dyDescent="0.2">
      <c r="A42" s="212"/>
      <c r="B42" s="213"/>
      <c r="C42" s="199" t="s">
        <v>15</v>
      </c>
      <c r="D42" s="195" t="s">
        <v>204</v>
      </c>
      <c r="E42" s="214"/>
      <c r="F42" s="196"/>
      <c r="G42" s="67">
        <f>IFERROR(VLOOKUP(D42,'[1]4. 계정별요약명세서(PL)'!$A$6:$D$65,4,FALSE),"")</f>
        <v>0</v>
      </c>
      <c r="H42" s="197"/>
      <c r="I42" s="201">
        <v>0</v>
      </c>
      <c r="J42" s="197"/>
    </row>
    <row r="43" spans="1:13" ht="13.5" customHeight="1" x14ac:dyDescent="0.2">
      <c r="A43" s="212"/>
      <c r="B43" s="213"/>
      <c r="C43" s="199" t="s">
        <v>17</v>
      </c>
      <c r="D43" s="195" t="s">
        <v>205</v>
      </c>
      <c r="E43" s="214"/>
      <c r="F43" s="196"/>
      <c r="G43" s="67">
        <f>IFERROR(VLOOKUP(D43,'[1]4. 계정별요약명세서(PL)'!$A$6:$D$65,4,FALSE),"")</f>
        <v>0</v>
      </c>
      <c r="H43" s="197"/>
      <c r="I43" s="201">
        <v>0</v>
      </c>
      <c r="J43" s="197"/>
    </row>
    <row r="44" spans="1:13" ht="13.5" customHeight="1" x14ac:dyDescent="0.2">
      <c r="A44" s="212"/>
      <c r="B44" s="213"/>
      <c r="C44" s="199" t="s">
        <v>19</v>
      </c>
      <c r="D44" s="195" t="s">
        <v>206</v>
      </c>
      <c r="E44" s="214"/>
      <c r="F44" s="196"/>
      <c r="G44" s="67" t="str">
        <f>IFERROR(VLOOKUP(D44,'[1]4. 계정별요약명세서(PL)'!$A$6:$D$65,4,FALSE),"")</f>
        <v/>
      </c>
      <c r="H44" s="197"/>
      <c r="I44" s="201" t="s">
        <v>25</v>
      </c>
      <c r="J44" s="197"/>
    </row>
    <row r="45" spans="1:13" ht="13.5" customHeight="1" x14ac:dyDescent="0.2">
      <c r="A45" s="212"/>
      <c r="B45" s="213"/>
      <c r="C45" s="199" t="s">
        <v>78</v>
      </c>
      <c r="D45" s="195" t="s">
        <v>207</v>
      </c>
      <c r="E45" s="214"/>
      <c r="F45" s="196"/>
      <c r="G45" s="67" t="str">
        <f>IFERROR(VLOOKUP(D45,'[1]4. 계정별요약명세서(PL)'!$A$6:$D$65,4,FALSE),"")</f>
        <v/>
      </c>
      <c r="H45" s="197"/>
      <c r="I45" s="201" t="s">
        <v>25</v>
      </c>
      <c r="J45" s="197"/>
      <c r="M45" s="215"/>
    </row>
    <row r="46" spans="1:13" ht="13.5" customHeight="1" x14ac:dyDescent="0.2">
      <c r="A46" s="212"/>
      <c r="B46" s="213"/>
      <c r="C46" s="199" t="s">
        <v>208</v>
      </c>
      <c r="D46" s="195" t="s">
        <v>209</v>
      </c>
      <c r="E46" s="214"/>
      <c r="F46" s="196"/>
      <c r="G46" s="67">
        <f>IFERROR(VLOOKUP(D46,'[1]4. 계정별요약명세서(PL)'!$A$6:$D$65,4,FALSE),"")</f>
        <v>0</v>
      </c>
      <c r="H46" s="197"/>
      <c r="I46" s="201">
        <v>1077584019</v>
      </c>
      <c r="J46" s="197"/>
      <c r="L46" s="203"/>
    </row>
    <row r="47" spans="1:13" ht="13.5" customHeight="1" x14ac:dyDescent="0.2">
      <c r="A47" s="212"/>
      <c r="B47" s="213"/>
      <c r="C47" s="199" t="s">
        <v>210</v>
      </c>
      <c r="D47" s="195" t="s">
        <v>211</v>
      </c>
      <c r="E47" s="214"/>
      <c r="F47" s="196"/>
      <c r="G47" s="67">
        <f>IFERROR(VLOOKUP(D47,'[1]4. 계정별요약명세서(PL)'!$A$6:$D$65,4,FALSE),"")</f>
        <v>455212761</v>
      </c>
      <c r="H47" s="197"/>
      <c r="I47" s="201">
        <v>2147358558</v>
      </c>
      <c r="J47" s="197"/>
      <c r="L47" s="204"/>
    </row>
    <row r="48" spans="1:13" ht="13.5" customHeight="1" x14ac:dyDescent="0.2">
      <c r="A48" s="212"/>
      <c r="B48" s="213"/>
      <c r="C48" s="199" t="s">
        <v>212</v>
      </c>
      <c r="D48" s="195" t="s">
        <v>213</v>
      </c>
      <c r="E48" s="214"/>
      <c r="F48" s="196"/>
      <c r="G48" s="67">
        <f>IFERROR(VLOOKUP(D48,'[1]4. 계정별요약명세서(PL)'!$A$6:$D$65,4,FALSE),"")</f>
        <v>0</v>
      </c>
      <c r="H48" s="197"/>
      <c r="I48" s="201">
        <v>0</v>
      </c>
      <c r="J48" s="197"/>
      <c r="L48" s="203"/>
    </row>
    <row r="49" spans="1:14" ht="13.5" customHeight="1" x14ac:dyDescent="0.2">
      <c r="A49" s="212"/>
      <c r="B49" s="213"/>
      <c r="C49" s="199" t="s">
        <v>214</v>
      </c>
      <c r="D49" s="195" t="s">
        <v>215</v>
      </c>
      <c r="E49" s="214"/>
      <c r="F49" s="196"/>
      <c r="G49" s="67" t="str">
        <f>IFERROR(VLOOKUP(D49,'[1]4. 계정별요약명세서(PL)'!$A$6:$D$65,4,FALSE),"")</f>
        <v/>
      </c>
      <c r="H49" s="197"/>
      <c r="I49" s="201" t="s">
        <v>25</v>
      </c>
      <c r="J49" s="197"/>
    </row>
    <row r="50" spans="1:14" ht="13.5" customHeight="1" x14ac:dyDescent="0.2">
      <c r="A50" s="212"/>
      <c r="B50" s="213"/>
      <c r="C50" s="199" t="s">
        <v>216</v>
      </c>
      <c r="D50" s="195" t="s">
        <v>217</v>
      </c>
      <c r="E50" s="214"/>
      <c r="F50" s="196"/>
      <c r="G50" s="67">
        <f>IFERROR(VLOOKUP(D50,'[1]4. 계정별요약명세서(PL)'!$A$6:$D$65,4,FALSE),"")</f>
        <v>0</v>
      </c>
      <c r="H50" s="197"/>
      <c r="I50" s="201">
        <v>0</v>
      </c>
      <c r="J50" s="197"/>
    </row>
    <row r="51" spans="1:14" ht="13.5" customHeight="1" x14ac:dyDescent="0.2">
      <c r="A51" s="212"/>
      <c r="B51" s="213"/>
      <c r="C51" s="199" t="s">
        <v>218</v>
      </c>
      <c r="D51" s="195" t="s">
        <v>219</v>
      </c>
      <c r="E51" s="214"/>
      <c r="F51" s="196"/>
      <c r="G51" s="67" t="str">
        <f>IFERROR(VLOOKUP(D51,'[1]4. 계정별요약명세서(PL)'!$A$6:$D$65,4,FALSE),"")</f>
        <v/>
      </c>
      <c r="H51" s="197"/>
      <c r="I51" s="201" t="s">
        <v>25</v>
      </c>
      <c r="J51" s="197"/>
    </row>
    <row r="52" spans="1:14" ht="13.5" customHeight="1" x14ac:dyDescent="0.2">
      <c r="A52" s="212"/>
      <c r="B52" s="213"/>
      <c r="C52" s="199" t="s">
        <v>220</v>
      </c>
      <c r="D52" s="195" t="s">
        <v>221</v>
      </c>
      <c r="E52" s="214"/>
      <c r="F52" s="196"/>
      <c r="G52" s="66">
        <f>IFERROR(VLOOKUP(D52,'[1]4. 계정별요약명세서(PL)'!$A$6:$D$65,4,FALSE),"")</f>
        <v>29979234</v>
      </c>
      <c r="H52" s="197"/>
      <c r="I52" s="201">
        <v>150429639</v>
      </c>
      <c r="J52" s="197"/>
    </row>
    <row r="53" spans="1:14" ht="14.25" customHeight="1" x14ac:dyDescent="0.2">
      <c r="A53" s="216"/>
      <c r="B53" s="213"/>
      <c r="C53" s="199" t="s">
        <v>222</v>
      </c>
      <c r="D53" s="195" t="s">
        <v>223</v>
      </c>
      <c r="E53" s="214"/>
      <c r="F53" s="196"/>
      <c r="G53" s="66" t="str">
        <f>IFERROR(VLOOKUP(D53,'[1]4. 계정별요약명세서(PL)'!$A$6:$D$65,4,FALSE),"")</f>
        <v/>
      </c>
      <c r="H53" s="197"/>
      <c r="I53" s="190" t="s">
        <v>25</v>
      </c>
      <c r="J53" s="197"/>
    </row>
    <row r="54" spans="1:14" ht="13.5" customHeight="1" x14ac:dyDescent="0.2">
      <c r="A54" s="216"/>
      <c r="B54" s="213"/>
      <c r="C54" s="199" t="s">
        <v>224</v>
      </c>
      <c r="D54" s="195" t="s">
        <v>225</v>
      </c>
      <c r="E54" s="214"/>
      <c r="F54" s="196"/>
      <c r="G54" s="66" t="str">
        <f>IFERROR(VLOOKUP(D54,'[1]4. 계정별요약명세서(PL)'!$A$6:$D$65,4,FALSE),"")</f>
        <v/>
      </c>
      <c r="H54" s="197"/>
      <c r="I54" s="190" t="s">
        <v>25</v>
      </c>
      <c r="J54" s="197"/>
    </row>
    <row r="55" spans="1:14" ht="13.5" customHeight="1" x14ac:dyDescent="0.2">
      <c r="A55" s="216"/>
      <c r="B55" s="213"/>
      <c r="C55" s="199" t="s">
        <v>226</v>
      </c>
      <c r="D55" s="195" t="s">
        <v>227</v>
      </c>
      <c r="E55" s="214"/>
      <c r="F55" s="196"/>
      <c r="G55" s="66">
        <f>IFERROR(VLOOKUP(D55,'[1]4. 계정별요약명세서(PL)'!$A$6:$D$65,4,FALSE),"")</f>
        <v>0</v>
      </c>
      <c r="H55" s="197"/>
      <c r="I55" s="190">
        <v>852</v>
      </c>
      <c r="J55" s="197"/>
    </row>
    <row r="56" spans="1:14" ht="13.5" customHeight="1" x14ac:dyDescent="0.2">
      <c r="A56" s="216"/>
      <c r="B56" s="213"/>
      <c r="C56" s="199" t="s">
        <v>228</v>
      </c>
      <c r="D56" s="195" t="s">
        <v>229</v>
      </c>
      <c r="E56" s="195"/>
      <c r="F56" s="196"/>
      <c r="G56" s="66">
        <f>IFERROR(VLOOKUP(D56,'[1]4. 계정별요약명세서(PL)'!$A$6:$D$65,4,FALSE),"")</f>
        <v>1354326</v>
      </c>
      <c r="H56" s="217"/>
      <c r="I56" s="190">
        <v>3107412</v>
      </c>
      <c r="J56" s="217"/>
    </row>
    <row r="57" spans="1:14" ht="13.5" x14ac:dyDescent="0.2">
      <c r="A57" s="216"/>
      <c r="B57" s="213"/>
      <c r="C57" s="218"/>
      <c r="D57" s="202"/>
      <c r="E57" s="202"/>
      <c r="F57" s="196"/>
      <c r="G57" s="66" t="str">
        <f>IFERROR(VLOOKUP(D57,'[1]4. 계정별요약명세서(PL)'!$A$6:$D$49,4,FALSE),"")</f>
        <v/>
      </c>
      <c r="H57" s="217"/>
      <c r="I57" s="190" t="s">
        <v>25</v>
      </c>
      <c r="J57" s="217"/>
    </row>
    <row r="58" spans="1:14" ht="13.5" customHeight="1" x14ac:dyDescent="0.2">
      <c r="A58" s="219"/>
      <c r="B58" s="194" t="s">
        <v>37</v>
      </c>
      <c r="C58" s="211" t="s">
        <v>230</v>
      </c>
      <c r="D58" s="195"/>
      <c r="E58" s="195"/>
      <c r="F58" s="196"/>
      <c r="G58" s="66" t="str">
        <f>IFERROR(VLOOKUP(D58,'[1]4. 계정별요약명세서(PL)'!$A$6:$D$49,4,FALSE),"")</f>
        <v/>
      </c>
      <c r="H58" s="197">
        <f>SUM(G59:G81)</f>
        <v>1880795889</v>
      </c>
      <c r="I58" s="190" t="s">
        <v>25</v>
      </c>
      <c r="J58" s="197">
        <v>9893727959</v>
      </c>
    </row>
    <row r="59" spans="1:14" ht="13.5" x14ac:dyDescent="0.2">
      <c r="A59" s="216"/>
      <c r="B59" s="213"/>
      <c r="C59" s="218" t="s">
        <v>15</v>
      </c>
      <c r="D59" s="195" t="s">
        <v>231</v>
      </c>
      <c r="E59" s="195"/>
      <c r="F59" s="196"/>
      <c r="G59" s="220">
        <v>835261404</v>
      </c>
      <c r="H59" s="217"/>
      <c r="I59" s="220">
        <v>3169687067</v>
      </c>
      <c r="J59" s="217"/>
      <c r="L59" s="155" t="s">
        <v>232</v>
      </c>
      <c r="M59" s="221"/>
      <c r="N59" s="222"/>
    </row>
    <row r="60" spans="1:14" ht="13.5" x14ac:dyDescent="0.2">
      <c r="A60" s="216"/>
      <c r="B60" s="213"/>
      <c r="C60" s="218">
        <v>2</v>
      </c>
      <c r="D60" s="195" t="s">
        <v>233</v>
      </c>
      <c r="E60" s="195"/>
      <c r="F60" s="196"/>
      <c r="G60" s="220">
        <v>326746911</v>
      </c>
      <c r="H60" s="217"/>
      <c r="I60" s="220">
        <v>3192107130</v>
      </c>
      <c r="J60" s="217"/>
      <c r="L60" s="155" t="s">
        <v>232</v>
      </c>
      <c r="M60" s="221"/>
      <c r="N60" s="222"/>
    </row>
    <row r="61" spans="1:14" ht="13.5" x14ac:dyDescent="0.2">
      <c r="A61" s="216"/>
      <c r="B61" s="213"/>
      <c r="C61" s="218">
        <v>3</v>
      </c>
      <c r="D61" s="195" t="s">
        <v>234</v>
      </c>
      <c r="E61" s="195"/>
      <c r="F61" s="196"/>
      <c r="G61" s="220">
        <v>10691138</v>
      </c>
      <c r="H61" s="217"/>
      <c r="I61" s="220">
        <v>394188548</v>
      </c>
      <c r="J61" s="217"/>
      <c r="L61" s="155" t="s">
        <v>232</v>
      </c>
      <c r="M61" s="221"/>
      <c r="N61" s="222"/>
    </row>
    <row r="62" spans="1:14" ht="13.5" x14ac:dyDescent="0.2">
      <c r="A62" s="216"/>
      <c r="B62" s="213"/>
      <c r="C62" s="218">
        <v>4</v>
      </c>
      <c r="D62" s="195" t="s">
        <v>235</v>
      </c>
      <c r="E62" s="195"/>
      <c r="F62" s="196"/>
      <c r="G62" s="220">
        <v>101015963</v>
      </c>
      <c r="H62" s="217"/>
      <c r="I62" s="220">
        <v>445580436</v>
      </c>
      <c r="J62" s="217"/>
      <c r="L62" s="155" t="s">
        <v>232</v>
      </c>
      <c r="M62" s="221"/>
      <c r="N62" s="222"/>
    </row>
    <row r="63" spans="1:14" ht="13.5" x14ac:dyDescent="0.2">
      <c r="A63" s="216"/>
      <c r="B63" s="213"/>
      <c r="C63" s="218">
        <v>5</v>
      </c>
      <c r="D63" s="195" t="s">
        <v>236</v>
      </c>
      <c r="E63" s="195"/>
      <c r="F63" s="196"/>
      <c r="G63" s="220">
        <v>32312810</v>
      </c>
      <c r="H63" s="217"/>
      <c r="I63" s="220">
        <v>140852328</v>
      </c>
      <c r="J63" s="217"/>
      <c r="L63" s="155" t="s">
        <v>232</v>
      </c>
      <c r="M63" s="221"/>
      <c r="N63" s="222"/>
    </row>
    <row r="64" spans="1:14" ht="13.5" x14ac:dyDescent="0.2">
      <c r="A64" s="216"/>
      <c r="B64" s="213"/>
      <c r="C64" s="218">
        <v>6</v>
      </c>
      <c r="D64" s="195" t="s">
        <v>237</v>
      </c>
      <c r="E64" s="195"/>
      <c r="F64" s="196"/>
      <c r="G64" s="220">
        <v>9571659</v>
      </c>
      <c r="H64" s="217"/>
      <c r="I64" s="220">
        <v>36855609</v>
      </c>
      <c r="J64" s="217"/>
      <c r="L64" s="155" t="s">
        <v>232</v>
      </c>
      <c r="M64" s="221"/>
      <c r="N64" s="222"/>
    </row>
    <row r="65" spans="1:14" ht="13.5" x14ac:dyDescent="0.2">
      <c r="A65" s="216"/>
      <c r="B65" s="213"/>
      <c r="C65" s="218">
        <v>7</v>
      </c>
      <c r="D65" s="195" t="s">
        <v>238</v>
      </c>
      <c r="E65" s="195"/>
      <c r="F65" s="196"/>
      <c r="G65" s="220">
        <v>27498230</v>
      </c>
      <c r="H65" s="217"/>
      <c r="I65" s="220">
        <v>96405060</v>
      </c>
      <c r="J65" s="217"/>
      <c r="L65" s="155" t="s">
        <v>232</v>
      </c>
      <c r="M65" s="221"/>
      <c r="N65" s="222"/>
    </row>
    <row r="66" spans="1:14" ht="13.5" customHeight="1" x14ac:dyDescent="0.2">
      <c r="A66" s="216"/>
      <c r="B66" s="213"/>
      <c r="C66" s="218">
        <v>8</v>
      </c>
      <c r="D66" s="195" t="s">
        <v>239</v>
      </c>
      <c r="E66" s="195"/>
      <c r="F66" s="196"/>
      <c r="G66" s="220">
        <v>225980940</v>
      </c>
      <c r="H66" s="217"/>
      <c r="I66" s="220">
        <v>894008280</v>
      </c>
      <c r="J66" s="217"/>
      <c r="L66" s="155" t="s">
        <v>232</v>
      </c>
      <c r="M66" s="221"/>
      <c r="N66" s="222"/>
    </row>
    <row r="67" spans="1:14" ht="13.5" customHeight="1" x14ac:dyDescent="0.2">
      <c r="A67" s="216"/>
      <c r="B67" s="213"/>
      <c r="C67" s="218">
        <v>9</v>
      </c>
      <c r="D67" s="195" t="s">
        <v>240</v>
      </c>
      <c r="E67" s="195"/>
      <c r="F67" s="196"/>
      <c r="G67" s="220">
        <v>8637200</v>
      </c>
      <c r="H67" s="217"/>
      <c r="I67" s="220">
        <v>31908800</v>
      </c>
      <c r="J67" s="217"/>
      <c r="L67" s="155" t="s">
        <v>232</v>
      </c>
      <c r="M67" s="221"/>
      <c r="N67" s="222"/>
    </row>
    <row r="68" spans="1:14" ht="13.5" customHeight="1" x14ac:dyDescent="0.2">
      <c r="A68" s="216"/>
      <c r="B68" s="213"/>
      <c r="C68" s="218">
        <v>10</v>
      </c>
      <c r="D68" s="195" t="s">
        <v>241</v>
      </c>
      <c r="E68" s="195"/>
      <c r="F68" s="196"/>
      <c r="G68" s="220">
        <v>14371517</v>
      </c>
      <c r="H68" s="217"/>
      <c r="I68" s="220">
        <v>68810868</v>
      </c>
      <c r="J68" s="217"/>
      <c r="L68" s="155" t="s">
        <v>232</v>
      </c>
      <c r="M68" s="221"/>
      <c r="N68" s="222"/>
    </row>
    <row r="69" spans="1:14" ht="13.5" customHeight="1" x14ac:dyDescent="0.2">
      <c r="A69" s="216"/>
      <c r="B69" s="213"/>
      <c r="C69" s="218">
        <v>11</v>
      </c>
      <c r="D69" s="195" t="s">
        <v>242</v>
      </c>
      <c r="E69" s="195"/>
      <c r="F69" s="196"/>
      <c r="G69" s="220">
        <v>36691440</v>
      </c>
      <c r="H69" s="217"/>
      <c r="I69" s="220">
        <v>194817700</v>
      </c>
      <c r="J69" s="217"/>
      <c r="L69" s="155" t="s">
        <v>232</v>
      </c>
      <c r="M69" s="221"/>
      <c r="N69" s="222"/>
    </row>
    <row r="70" spans="1:14" ht="13.5" customHeight="1" x14ac:dyDescent="0.2">
      <c r="A70" s="216"/>
      <c r="B70" s="213"/>
      <c r="C70" s="218">
        <v>12</v>
      </c>
      <c r="D70" s="195" t="s">
        <v>243</v>
      </c>
      <c r="E70" s="195"/>
      <c r="F70" s="196"/>
      <c r="G70" s="220">
        <v>0</v>
      </c>
      <c r="H70" s="217"/>
      <c r="I70" s="220">
        <v>10811200</v>
      </c>
      <c r="J70" s="217"/>
      <c r="L70" s="155" t="s">
        <v>232</v>
      </c>
      <c r="M70" s="221"/>
      <c r="N70" s="222"/>
    </row>
    <row r="71" spans="1:14" ht="13.5" x14ac:dyDescent="0.2">
      <c r="A71" s="216"/>
      <c r="B71" s="213"/>
      <c r="C71" s="218">
        <v>13</v>
      </c>
      <c r="D71" s="195" t="s">
        <v>244</v>
      </c>
      <c r="E71" s="195"/>
      <c r="F71" s="196"/>
      <c r="G71" s="220">
        <v>10522530</v>
      </c>
      <c r="H71" s="217"/>
      <c r="I71" s="220">
        <v>28727850</v>
      </c>
      <c r="J71" s="217"/>
      <c r="L71" s="155" t="s">
        <v>232</v>
      </c>
      <c r="M71" s="221"/>
      <c r="N71" s="222"/>
    </row>
    <row r="72" spans="1:14" ht="13.5" customHeight="1" x14ac:dyDescent="0.2">
      <c r="A72" s="216"/>
      <c r="B72" s="213"/>
      <c r="C72" s="218">
        <v>14</v>
      </c>
      <c r="D72" s="205" t="s">
        <v>245</v>
      </c>
      <c r="E72" s="205"/>
      <c r="F72" s="196"/>
      <c r="G72" s="220">
        <v>100655992</v>
      </c>
      <c r="H72" s="217"/>
      <c r="I72" s="220">
        <v>628738162</v>
      </c>
      <c r="J72" s="217"/>
      <c r="L72" s="155" t="s">
        <v>232</v>
      </c>
      <c r="M72" s="221"/>
      <c r="N72" s="222"/>
    </row>
    <row r="73" spans="1:14" ht="13.5" x14ac:dyDescent="0.2">
      <c r="A73" s="216"/>
      <c r="B73" s="213"/>
      <c r="C73" s="218">
        <v>15</v>
      </c>
      <c r="D73" s="195" t="s">
        <v>246</v>
      </c>
      <c r="E73" s="195"/>
      <c r="F73" s="196"/>
      <c r="G73" s="220">
        <v>25454803</v>
      </c>
      <c r="H73" s="217"/>
      <c r="I73" s="220">
        <v>119376069</v>
      </c>
      <c r="J73" s="217"/>
      <c r="L73" s="155" t="s">
        <v>232</v>
      </c>
      <c r="M73" s="221"/>
      <c r="N73" s="222"/>
    </row>
    <row r="74" spans="1:14" ht="13.5" x14ac:dyDescent="0.2">
      <c r="A74" s="212"/>
      <c r="B74" s="223"/>
      <c r="C74" s="218">
        <v>16</v>
      </c>
      <c r="D74" s="195" t="s">
        <v>247</v>
      </c>
      <c r="E74" s="195"/>
      <c r="F74" s="196"/>
      <c r="G74" s="220">
        <v>1743240</v>
      </c>
      <c r="H74" s="224"/>
      <c r="I74" s="220">
        <v>6177680</v>
      </c>
      <c r="J74" s="224"/>
      <c r="L74" s="155" t="s">
        <v>232</v>
      </c>
      <c r="M74" s="221"/>
      <c r="N74" s="222"/>
    </row>
    <row r="75" spans="1:14" ht="13.5" x14ac:dyDescent="0.2">
      <c r="A75" s="212"/>
      <c r="B75" s="223"/>
      <c r="C75" s="218">
        <v>17</v>
      </c>
      <c r="D75" s="195" t="s">
        <v>248</v>
      </c>
      <c r="E75" s="195"/>
      <c r="F75" s="196"/>
      <c r="G75" s="220">
        <v>1561380</v>
      </c>
      <c r="H75" s="224"/>
      <c r="I75" s="220">
        <v>16600483</v>
      </c>
      <c r="J75" s="224"/>
      <c r="L75" s="155" t="s">
        <v>232</v>
      </c>
      <c r="M75" s="221"/>
      <c r="N75" s="222"/>
    </row>
    <row r="76" spans="1:14" ht="13.5" x14ac:dyDescent="0.2">
      <c r="A76" s="212"/>
      <c r="B76" s="223"/>
      <c r="C76" s="218">
        <v>18</v>
      </c>
      <c r="D76" s="195" t="s">
        <v>249</v>
      </c>
      <c r="E76" s="195"/>
      <c r="F76" s="196"/>
      <c r="G76" s="220">
        <v>106090632</v>
      </c>
      <c r="H76" s="224"/>
      <c r="I76" s="220">
        <v>366008519</v>
      </c>
      <c r="J76" s="224"/>
      <c r="L76" s="155" t="s">
        <v>232</v>
      </c>
      <c r="M76" s="221"/>
      <c r="N76" s="222"/>
    </row>
    <row r="77" spans="1:14" ht="13.5" x14ac:dyDescent="0.2">
      <c r="A77" s="212"/>
      <c r="B77" s="223"/>
      <c r="C77" s="218">
        <v>19</v>
      </c>
      <c r="D77" s="195" t="s">
        <v>250</v>
      </c>
      <c r="E77" s="195"/>
      <c r="F77" s="196"/>
      <c r="G77" s="220">
        <v>0</v>
      </c>
      <c r="H77" s="224"/>
      <c r="I77" s="220">
        <v>7838600</v>
      </c>
      <c r="J77" s="224"/>
      <c r="L77" s="155" t="s">
        <v>232</v>
      </c>
      <c r="M77" s="221"/>
      <c r="N77" s="222"/>
    </row>
    <row r="78" spans="1:14" ht="13.5" x14ac:dyDescent="0.2">
      <c r="A78" s="212"/>
      <c r="B78" s="223"/>
      <c r="C78" s="218">
        <v>20</v>
      </c>
      <c r="D78" s="195" t="s">
        <v>251</v>
      </c>
      <c r="E78" s="195"/>
      <c r="F78" s="196"/>
      <c r="G78" s="220">
        <v>5325000</v>
      </c>
      <c r="H78" s="224"/>
      <c r="I78" s="220">
        <v>39800000</v>
      </c>
      <c r="J78" s="224"/>
      <c r="L78" s="155" t="s">
        <v>232</v>
      </c>
      <c r="M78" s="221"/>
      <c r="N78" s="222"/>
    </row>
    <row r="79" spans="1:14" ht="13.5" x14ac:dyDescent="0.2">
      <c r="A79" s="212"/>
      <c r="B79" s="223"/>
      <c r="C79" s="218">
        <v>21</v>
      </c>
      <c r="D79" s="195" t="s">
        <v>252</v>
      </c>
      <c r="E79" s="214"/>
      <c r="F79" s="196"/>
      <c r="G79" s="220">
        <v>663100</v>
      </c>
      <c r="H79" s="224"/>
      <c r="I79" s="220">
        <v>2176200</v>
      </c>
      <c r="J79" s="224"/>
      <c r="L79" s="155" t="s">
        <v>232</v>
      </c>
      <c r="M79" s="221"/>
      <c r="N79" s="222"/>
    </row>
    <row r="80" spans="1:14" ht="13.5" x14ac:dyDescent="0.2">
      <c r="A80" s="212"/>
      <c r="B80" s="223"/>
      <c r="C80" s="218">
        <v>22</v>
      </c>
      <c r="D80" s="195" t="s">
        <v>253</v>
      </c>
      <c r="E80" s="214"/>
      <c r="F80" s="196"/>
      <c r="G80" s="220">
        <v>0</v>
      </c>
      <c r="H80" s="224"/>
      <c r="I80" s="220">
        <v>2251370</v>
      </c>
      <c r="J80" s="224"/>
      <c r="L80" s="155" t="s">
        <v>232</v>
      </c>
      <c r="M80" s="221"/>
      <c r="N80" s="222"/>
    </row>
    <row r="81" spans="1:12" ht="13.5" x14ac:dyDescent="0.2">
      <c r="A81" s="212"/>
      <c r="B81" s="223"/>
      <c r="C81" s="218"/>
      <c r="D81" s="195"/>
      <c r="E81" s="214"/>
      <c r="F81" s="196"/>
      <c r="G81" s="66" t="str">
        <f>IFERROR(VLOOKUP(D81,'[1]4. 계정별요약명세서(PL)'!$A$6:$D$49,4,FALSE),"")</f>
        <v/>
      </c>
      <c r="H81" s="224"/>
      <c r="I81" s="225" t="s">
        <v>25</v>
      </c>
      <c r="J81" s="224"/>
    </row>
    <row r="82" spans="1:12" ht="13.5" x14ac:dyDescent="0.2">
      <c r="A82" s="212"/>
      <c r="B82" s="223"/>
      <c r="C82" s="226"/>
      <c r="D82" s="227"/>
      <c r="E82" s="228"/>
      <c r="F82" s="228"/>
      <c r="G82" s="66" t="str">
        <f>IFERROR(VLOOKUP(D82,'[1]4. 계정별요약명세서(PL)'!$A$6:$D$49,4,FALSE),"")</f>
        <v/>
      </c>
      <c r="H82" s="224"/>
      <c r="I82" s="201" t="s">
        <v>25</v>
      </c>
      <c r="J82" s="224"/>
    </row>
    <row r="83" spans="1:12" ht="13.5" customHeight="1" x14ac:dyDescent="0.2">
      <c r="A83" s="208" t="s">
        <v>44</v>
      </c>
      <c r="B83" s="229" t="s">
        <v>254</v>
      </c>
      <c r="C83" s="188"/>
      <c r="D83" s="188"/>
      <c r="E83" s="188"/>
      <c r="F83" s="228"/>
      <c r="G83" s="66" t="str">
        <f>IFERROR(VLOOKUP(D83,'[1]4. 계정별요약명세서(PL)'!$A$6:$D$49,4,FALSE),"")</f>
        <v/>
      </c>
      <c r="H83" s="230">
        <f>ROUND(H10-H40,0)</f>
        <v>4566961265</v>
      </c>
      <c r="I83" s="201" t="s">
        <v>25</v>
      </c>
      <c r="J83" s="230">
        <v>6724939169</v>
      </c>
      <c r="L83" s="231"/>
    </row>
    <row r="84" spans="1:12" ht="13.5" x14ac:dyDescent="0.2">
      <c r="A84" s="208"/>
      <c r="B84" s="232"/>
      <c r="C84" s="227"/>
      <c r="D84" s="227"/>
      <c r="E84" s="227"/>
      <c r="F84" s="228"/>
      <c r="G84" s="66" t="str">
        <f>IFERROR(VLOOKUP(D84,'[1]4. 계정별요약명세서(PL)'!$A$6:$D$49,4,FALSE),"")</f>
        <v/>
      </c>
      <c r="H84" s="230"/>
      <c r="I84" s="201" t="s">
        <v>25</v>
      </c>
      <c r="J84" s="230"/>
    </row>
    <row r="85" spans="1:12" ht="13.5" customHeight="1" x14ac:dyDescent="0.2">
      <c r="A85" s="208" t="s">
        <v>115</v>
      </c>
      <c r="B85" s="209" t="s">
        <v>255</v>
      </c>
      <c r="C85" s="195"/>
      <c r="D85" s="195"/>
      <c r="E85" s="195"/>
      <c r="F85" s="196"/>
      <c r="G85" s="66" t="str">
        <f>IFERROR(VLOOKUP(D85,'[1]4. 계정별요약명세서(PL)'!$A$6:$D$49,4,FALSE),"")</f>
        <v/>
      </c>
      <c r="H85" s="233">
        <f>SUM(G86:G89)</f>
        <v>3079580</v>
      </c>
      <c r="I85" s="201" t="s">
        <v>25</v>
      </c>
      <c r="J85" s="233">
        <v>5724670</v>
      </c>
    </row>
    <row r="86" spans="1:12" ht="13.5" x14ac:dyDescent="0.2">
      <c r="A86" s="212"/>
      <c r="B86" s="213"/>
      <c r="C86" s="218">
        <v>1</v>
      </c>
      <c r="D86" s="234" t="s">
        <v>256</v>
      </c>
      <c r="E86" s="235"/>
      <c r="F86" s="196"/>
      <c r="G86" s="66">
        <f>IFERROR(VLOOKUP(D86,'[1]4. 계정별요약명세서(PL)'!$A$6:$D$67,4,FALSE),"")</f>
        <v>1257480</v>
      </c>
      <c r="H86" s="236"/>
      <c r="I86" s="201">
        <v>5598870</v>
      </c>
      <c r="J86" s="236"/>
    </row>
    <row r="87" spans="1:12" ht="13.5" x14ac:dyDescent="0.2">
      <c r="A87" s="212"/>
      <c r="B87" s="213"/>
      <c r="C87" s="218">
        <v>2</v>
      </c>
      <c r="D87" s="195" t="s">
        <v>257</v>
      </c>
      <c r="E87" s="214"/>
      <c r="F87" s="196"/>
      <c r="G87" s="66">
        <f>IFERROR(VLOOKUP(D87,'[1]4. 계정별요약명세서(PL)'!$A$6:$D$67,4,FALSE),"")</f>
        <v>9000</v>
      </c>
      <c r="H87" s="236"/>
      <c r="I87" s="201">
        <v>99000</v>
      </c>
      <c r="J87" s="236"/>
    </row>
    <row r="88" spans="1:12" ht="16.5" x14ac:dyDescent="0.2">
      <c r="A88" s="212"/>
      <c r="B88" s="213"/>
      <c r="C88" s="218">
        <v>3</v>
      </c>
      <c r="D88" s="195" t="s">
        <v>258</v>
      </c>
      <c r="E88" s="214"/>
      <c r="F88" s="237"/>
      <c r="G88" s="66">
        <f>IFERROR(VLOOKUP(D88,'[1]4. 계정별요약명세서(PL)'!$A$6:$D$67,4,FALSE),"")</f>
        <v>1813100</v>
      </c>
      <c r="H88" s="236"/>
      <c r="I88" s="190">
        <v>26800</v>
      </c>
      <c r="J88" s="236"/>
    </row>
    <row r="89" spans="1:12" ht="16.5" x14ac:dyDescent="0.2">
      <c r="A89" s="212"/>
      <c r="B89" s="213"/>
      <c r="C89" s="218">
        <v>4</v>
      </c>
      <c r="D89" s="238" t="s">
        <v>259</v>
      </c>
      <c r="E89" s="239"/>
      <c r="F89" s="237"/>
      <c r="G89" s="66">
        <v>0</v>
      </c>
      <c r="H89" s="236"/>
      <c r="I89" s="190">
        <v>0</v>
      </c>
      <c r="J89" s="236"/>
    </row>
    <row r="90" spans="1:12" ht="13.5" x14ac:dyDescent="0.2">
      <c r="A90" s="212"/>
      <c r="B90" s="213"/>
      <c r="C90" s="218"/>
      <c r="D90" s="202"/>
      <c r="E90" s="196"/>
      <c r="F90" s="196"/>
      <c r="G90" s="66" t="str">
        <f>IFERROR(VLOOKUP(D90,'[1]4. 계정별요약명세서(PL)'!$A$6:$D$67,4,FALSE),"")</f>
        <v/>
      </c>
      <c r="H90" s="236"/>
      <c r="I90" s="190" t="s">
        <v>25</v>
      </c>
      <c r="J90" s="236"/>
    </row>
    <row r="91" spans="1:12" ht="13.5" customHeight="1" x14ac:dyDescent="0.2">
      <c r="A91" s="208" t="s">
        <v>260</v>
      </c>
      <c r="B91" s="209" t="s">
        <v>261</v>
      </c>
      <c r="C91" s="195"/>
      <c r="D91" s="195"/>
      <c r="E91" s="195"/>
      <c r="F91" s="196"/>
      <c r="G91" s="66" t="str">
        <f>IFERROR(VLOOKUP(D91,'[1]4. 계정별요약명세서(PL)'!$A$6:$D$67,4,FALSE),"")</f>
        <v/>
      </c>
      <c r="H91" s="233">
        <f>SUM(G92:G96)</f>
        <v>0</v>
      </c>
      <c r="I91" s="190" t="s">
        <v>25</v>
      </c>
      <c r="J91" s="233">
        <v>87379910</v>
      </c>
    </row>
    <row r="92" spans="1:12" ht="13.5" customHeight="1" x14ac:dyDescent="0.2">
      <c r="A92" s="212"/>
      <c r="B92" s="240"/>
      <c r="C92" s="218">
        <v>1</v>
      </c>
      <c r="D92" s="195" t="s">
        <v>262</v>
      </c>
      <c r="E92" s="195"/>
      <c r="F92" s="196"/>
      <c r="G92" s="66">
        <f>IFERROR(VLOOKUP(D92,'[1]4. 계정별요약명세서(PL)'!$A$6:$D$73,4,FALSE),"")</f>
        <v>0</v>
      </c>
      <c r="H92" s="236"/>
      <c r="I92" s="190">
        <v>0</v>
      </c>
      <c r="J92" s="236"/>
    </row>
    <row r="93" spans="1:12" ht="13.5" customHeight="1" x14ac:dyDescent="0.2">
      <c r="A93" s="212"/>
      <c r="B93" s="240"/>
      <c r="C93" s="218">
        <v>2</v>
      </c>
      <c r="D93" s="195" t="s">
        <v>263</v>
      </c>
      <c r="E93" s="214"/>
      <c r="F93" s="196"/>
      <c r="G93" s="66">
        <f>IFERROR(VLOOKUP(D93,'[1]4. 계정별요약명세서(PL)'!$A$6:$D$73,4,FALSE),"")</f>
        <v>0</v>
      </c>
      <c r="H93" s="236"/>
      <c r="I93" s="190">
        <v>4000</v>
      </c>
      <c r="J93" s="236"/>
    </row>
    <row r="94" spans="1:12" ht="13.5" customHeight="1" x14ac:dyDescent="0.2">
      <c r="A94" s="212"/>
      <c r="B94" s="240"/>
      <c r="C94" s="218">
        <v>3</v>
      </c>
      <c r="D94" s="195" t="s">
        <v>264</v>
      </c>
      <c r="E94" s="214"/>
      <c r="F94" s="196"/>
      <c r="G94" s="66">
        <f>IFERROR(VLOOKUP(D94,'[1]4. 계정별요약명세서(PL)'!$A$6:$D$73,4,FALSE),"")</f>
        <v>0</v>
      </c>
      <c r="H94" s="236"/>
      <c r="I94" s="190">
        <v>5000000</v>
      </c>
      <c r="J94" s="236"/>
    </row>
    <row r="95" spans="1:12" ht="13.5" x14ac:dyDescent="0.2">
      <c r="A95" s="212"/>
      <c r="B95" s="213"/>
      <c r="C95" s="218">
        <v>4</v>
      </c>
      <c r="D95" s="195" t="s">
        <v>265</v>
      </c>
      <c r="E95" s="214"/>
      <c r="F95" s="196"/>
      <c r="G95" s="66">
        <f>IFERROR(VLOOKUP(D95,'[1]4. 계정별요약명세서(PL)'!$A$6:$D$73,4,FALSE),"")</f>
        <v>0</v>
      </c>
      <c r="H95" s="236"/>
      <c r="I95" s="201">
        <v>0</v>
      </c>
      <c r="J95" s="236"/>
    </row>
    <row r="96" spans="1:12" ht="13.5" x14ac:dyDescent="0.2">
      <c r="A96" s="212"/>
      <c r="B96" s="213"/>
      <c r="C96" s="218">
        <v>5</v>
      </c>
      <c r="D96" s="238" t="s">
        <v>266</v>
      </c>
      <c r="E96" s="239"/>
      <c r="F96" s="196"/>
      <c r="G96" s="66">
        <f>IFERROR(VLOOKUP(D96,'[1]4. 계정별요약명세서(PL)'!$A$6:$D$73,4,FALSE),"")</f>
        <v>0</v>
      </c>
      <c r="H96" s="236"/>
      <c r="I96" s="201">
        <v>82375910</v>
      </c>
      <c r="J96" s="236"/>
    </row>
    <row r="97" spans="1:10" ht="13.5" x14ac:dyDescent="0.2">
      <c r="A97" s="212"/>
      <c r="B97" s="213"/>
      <c r="C97" s="218"/>
      <c r="D97" s="202"/>
      <c r="E97" s="196"/>
      <c r="F97" s="196"/>
      <c r="G97" s="66" t="str">
        <f>IFERROR(VLOOKUP(D97,'[1]4. 계정별요약명세서(PL)'!$A$6:$D$67,4,FALSE),"")</f>
        <v/>
      </c>
      <c r="H97" s="236"/>
      <c r="I97" s="201" t="s">
        <v>25</v>
      </c>
      <c r="J97" s="236"/>
    </row>
    <row r="98" spans="1:10" ht="13.5" customHeight="1" x14ac:dyDescent="0.2">
      <c r="A98" s="208" t="s">
        <v>267</v>
      </c>
      <c r="B98" s="209" t="s">
        <v>268</v>
      </c>
      <c r="C98" s="195"/>
      <c r="D98" s="195"/>
      <c r="E98" s="195"/>
      <c r="F98" s="196"/>
      <c r="G98" s="66" t="str">
        <f>IFERROR(VLOOKUP(D98,'[1]4. 계정별요약명세서(PL)'!$A$6:$D$67,4,FALSE),"")</f>
        <v/>
      </c>
      <c r="H98" s="233">
        <f>H83+H85-H91</f>
        <v>4570040845</v>
      </c>
      <c r="I98" s="241" t="s">
        <v>25</v>
      </c>
      <c r="J98" s="233">
        <v>6643283929</v>
      </c>
    </row>
    <row r="99" spans="1:10" ht="13.5" customHeight="1" x14ac:dyDescent="0.2">
      <c r="A99" s="208" t="s">
        <v>269</v>
      </c>
      <c r="B99" s="242" t="s">
        <v>270</v>
      </c>
      <c r="C99" s="195"/>
      <c r="D99" s="195"/>
      <c r="E99" s="195"/>
      <c r="F99" s="196"/>
      <c r="G99" s="66" t="str">
        <f>IFERROR(VLOOKUP(D99,'[1]4. 계정별요약명세서(PL)'!$A$6:$D$67,4,FALSE),"")</f>
        <v/>
      </c>
      <c r="H99" s="233">
        <f>H98</f>
        <v>4570040845</v>
      </c>
      <c r="I99" s="241" t="s">
        <v>25</v>
      </c>
      <c r="J99" s="233">
        <v>6643283929</v>
      </c>
    </row>
    <row r="100" spans="1:10" ht="13.5" customHeight="1" x14ac:dyDescent="0.2">
      <c r="A100" s="243" t="s">
        <v>271</v>
      </c>
      <c r="B100" s="209" t="s">
        <v>272</v>
      </c>
      <c r="C100" s="195"/>
      <c r="D100" s="195"/>
      <c r="E100" s="195"/>
      <c r="F100" s="196"/>
      <c r="G100" s="66"/>
      <c r="H100" s="210">
        <f>-186109282+'[1]1. 재무상태표'!E118</f>
        <v>2089699676</v>
      </c>
      <c r="I100" s="190"/>
      <c r="J100" s="210">
        <v>770424756</v>
      </c>
    </row>
    <row r="101" spans="1:10" ht="14.25" customHeight="1" thickBot="1" x14ac:dyDescent="0.25">
      <c r="A101" s="244" t="s">
        <v>273</v>
      </c>
      <c r="B101" s="209" t="s">
        <v>274</v>
      </c>
      <c r="C101" s="195"/>
      <c r="D101" s="195"/>
      <c r="E101" s="195"/>
      <c r="F101" s="196"/>
      <c r="G101" s="190" t="str">
        <f>IFERROR(VLOOKUP(D101,'[1]4. 계정별요약명세서(PL)'!$A$6:$D$49,4,FALSE),"")</f>
        <v/>
      </c>
      <c r="H101" s="245">
        <f>ROUNDUP(H99-H100,0)</f>
        <v>2480341169</v>
      </c>
      <c r="I101" s="241" t="s">
        <v>25</v>
      </c>
      <c r="J101" s="245">
        <v>5872859173</v>
      </c>
    </row>
    <row r="102" spans="1:10" ht="15" thickTop="1" thickBot="1" x14ac:dyDescent="0.25">
      <c r="A102" s="246"/>
      <c r="B102" s="247"/>
      <c r="C102" s="247"/>
      <c r="D102" s="247"/>
      <c r="E102" s="247"/>
      <c r="F102" s="247"/>
      <c r="G102" s="248"/>
      <c r="H102" s="249"/>
      <c r="I102" s="250"/>
      <c r="J102" s="249"/>
    </row>
    <row r="105" spans="1:10" x14ac:dyDescent="0.2">
      <c r="H105" s="155" t="b">
        <f>H101='[1]1. 재무상태표'!D106</f>
        <v>1</v>
      </c>
      <c r="J105" s="155" t="b">
        <v>1</v>
      </c>
    </row>
    <row r="106" spans="1:10" x14ac:dyDescent="0.2">
      <c r="H106" s="251"/>
    </row>
    <row r="107" spans="1:10" x14ac:dyDescent="0.2">
      <c r="H107" s="231"/>
    </row>
    <row r="108" spans="1:10" x14ac:dyDescent="0.2">
      <c r="H108" s="203"/>
    </row>
    <row r="109" spans="1:10" x14ac:dyDescent="0.2">
      <c r="H109" s="222"/>
    </row>
    <row r="110" spans="1:10" x14ac:dyDescent="0.2">
      <c r="H110" s="203"/>
    </row>
  </sheetData>
  <mergeCells count="91">
    <mergeCell ref="D96:E96"/>
    <mergeCell ref="B98:E98"/>
    <mergeCell ref="B99:E99"/>
    <mergeCell ref="B100:E100"/>
    <mergeCell ref="B101:E101"/>
    <mergeCell ref="D89:E89"/>
    <mergeCell ref="B91:E91"/>
    <mergeCell ref="D92:E92"/>
    <mergeCell ref="D93:E93"/>
    <mergeCell ref="D94:E94"/>
    <mergeCell ref="D95:E95"/>
    <mergeCell ref="D81:E81"/>
    <mergeCell ref="B83:E83"/>
    <mergeCell ref="B85:E85"/>
    <mergeCell ref="D86:E86"/>
    <mergeCell ref="D87:E87"/>
    <mergeCell ref="D88:E88"/>
    <mergeCell ref="D75:E75"/>
    <mergeCell ref="D76:E76"/>
    <mergeCell ref="D77:E77"/>
    <mergeCell ref="D78:E78"/>
    <mergeCell ref="D79:E79"/>
    <mergeCell ref="D80:E80"/>
    <mergeCell ref="D69:E69"/>
    <mergeCell ref="D70:E70"/>
    <mergeCell ref="D71:E71"/>
    <mergeCell ref="D72:E72"/>
    <mergeCell ref="D73:E73"/>
    <mergeCell ref="D74:E74"/>
    <mergeCell ref="D63:E63"/>
    <mergeCell ref="D64:E64"/>
    <mergeCell ref="D65:E65"/>
    <mergeCell ref="D66:E66"/>
    <mergeCell ref="D67:E67"/>
    <mergeCell ref="D68:E68"/>
    <mergeCell ref="D56:E56"/>
    <mergeCell ref="C58:E58"/>
    <mergeCell ref="D59:E59"/>
    <mergeCell ref="D60:E60"/>
    <mergeCell ref="D61:E61"/>
    <mergeCell ref="D62:E62"/>
    <mergeCell ref="D50:E50"/>
    <mergeCell ref="D51:E51"/>
    <mergeCell ref="D52:E52"/>
    <mergeCell ref="D53:E53"/>
    <mergeCell ref="D54:E54"/>
    <mergeCell ref="D55:E55"/>
    <mergeCell ref="D44:E44"/>
    <mergeCell ref="D45:E45"/>
    <mergeCell ref="D46:E46"/>
    <mergeCell ref="D47:E47"/>
    <mergeCell ref="D48:E48"/>
    <mergeCell ref="D49:E49"/>
    <mergeCell ref="D37:E37"/>
    <mergeCell ref="D38:E38"/>
    <mergeCell ref="B40:E40"/>
    <mergeCell ref="C41:E41"/>
    <mergeCell ref="D42:E42"/>
    <mergeCell ref="D43:E43"/>
    <mergeCell ref="D30:E30"/>
    <mergeCell ref="C32:E32"/>
    <mergeCell ref="D33:E33"/>
    <mergeCell ref="D34:E34"/>
    <mergeCell ref="D35:E35"/>
    <mergeCell ref="D36:E36"/>
    <mergeCell ref="C24:E24"/>
    <mergeCell ref="D25:E25"/>
    <mergeCell ref="D26:E26"/>
    <mergeCell ref="D27:E27"/>
    <mergeCell ref="D28:E28"/>
    <mergeCell ref="D29:E29"/>
    <mergeCell ref="D16:E16"/>
    <mergeCell ref="C18:E18"/>
    <mergeCell ref="D19:E19"/>
    <mergeCell ref="D20:E20"/>
    <mergeCell ref="D21:E21"/>
    <mergeCell ref="D22:E22"/>
    <mergeCell ref="B10:E10"/>
    <mergeCell ref="C11:E11"/>
    <mergeCell ref="D12:E12"/>
    <mergeCell ref="D13:E13"/>
    <mergeCell ref="D14:E14"/>
    <mergeCell ref="D15:E15"/>
    <mergeCell ref="A2:J2"/>
    <mergeCell ref="A3:J3"/>
    <mergeCell ref="A4:J4"/>
    <mergeCell ref="A7:E8"/>
    <mergeCell ref="G7:H7"/>
    <mergeCell ref="I7:J7"/>
    <mergeCell ref="G8:H8"/>
    <mergeCell ref="I8:J8"/>
  </mergeCells>
  <phoneticPr fontId="11" type="noConversion"/>
  <printOptions horizontalCentered="1"/>
  <pageMargins left="0.31496062992125984" right="0.31496062992125984" top="0.39370078740157483" bottom="0.19685039370078741" header="0.31496062992125984" footer="0.31496062992125984"/>
  <pageSetup paperSize="9" scale="96" orientation="portrait" r:id="rId1"/>
  <rowBreaks count="1" manualBreakCount="1">
    <brk id="52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1. 재무상태표</vt:lpstr>
      <vt:lpstr>2. 손익계산서</vt:lpstr>
      <vt:lpstr>'1. 재무상태표'!Print_Area</vt:lpstr>
      <vt:lpstr>'2. 손익계산서'!Print_Area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아름 한</dc:creator>
  <cp:lastModifiedBy>아름 한</cp:lastModifiedBy>
  <dcterms:created xsi:type="dcterms:W3CDTF">2025-08-28T07:24:34Z</dcterms:created>
  <dcterms:modified xsi:type="dcterms:W3CDTF">2025-08-28T07:25:36Z</dcterms:modified>
</cp:coreProperties>
</file>